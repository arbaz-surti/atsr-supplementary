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059c7476bf4c45" /></Relationships>
</file>

<file path=xl/workbook.xml><?xml version="1.0" encoding="utf-8"?>
<x:workbook xmlns:x="http://schemas.openxmlformats.org/spreadsheetml/2006/main">
  <x:sheets>
    <x:sheet xmlns:r="http://schemas.openxmlformats.org/officeDocument/2006/relationships" name="Read First" sheetId="1" r:id="R2be96eb1cc224211"/>
    <x:sheet xmlns:r="http://schemas.openxmlformats.org/officeDocument/2006/relationships" name="Ratings" sheetId="2" r:id="R19b0ffe50360400b"/>
    <x:sheet xmlns:r="http://schemas.openxmlformats.org/officeDocument/2006/relationships" name="Consensus Reference" sheetId="3" r:id="R4ecc71c1ae774eeb"/>
    <x:sheet xmlns:r="http://schemas.openxmlformats.org/officeDocument/2006/relationships" name="Final Rubric" sheetId="4" r:id="R0f11d707c3bf4bc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17365D"/>
      <x:name val="Arial"/>
    </x:font>
    <x:font>
      <x:b/>
      <x:sz val="10"/>
      <x:color rgb="FF666666"/>
      <x:name val="Arial"/>
    </x:font>
    <x:font>
      <x:sz val="10"/>
      <x:color rgb="FF222222"/>
      <x:name val="Arial"/>
    </x:font>
    <x:font>
      <x:b/>
      <x:sz val="10"/>
      <x:color rgb="FF17365D"/>
      <x:name val="Arial"/>
    </x:font>
    <x:font>
      <x:b/>
      <x:sz val="10"/>
      <x:color rgb="FFFFFFFF"/>
      <x:name val="Arial"/>
    </x:font>
  </x:fonts>
  <x:fills count="6">
    <x:fill>
      <x:patternFill patternType="none"/>
    </x:fill>
    <x:fill>
      <x:patternFill patternType="gray125"/>
    </x:fill>
    <x:fill>
      <x:patternFill patternType="solid">
        <x:fgColor rgb="FFD9EAF7"/>
      </x:patternFill>
    </x:fill>
    <x:fill>
      <x:patternFill patternType="solid">
        <x:fgColor rgb="FF17365D"/>
      </x:patternFill>
    </x:fill>
    <x:fill>
      <x:patternFill patternType="solid">
        <x:fgColor rgb="FFFFF2CC"/>
      </x:patternFill>
    </x:fill>
    <x:fill>
      <x:patternFill patternType="solid">
        <x:fgColor rgb="FFE7E6E6"/>
      </x:patternFill>
    </x:fill>
  </x:fills>
  <x:borders count="6">
    <x:border/>
    <x:border>
      <x:bottom style="medium">
        <x:color rgb="FF17365D"/>
      </x:bottom>
    </x:border>
    <x:border>
      <x:left style="thin">
        <x:color rgb="FFFFFFFF"/>
      </x:left>
      <x:right style="thin">
        <x:color rgb="FFFFFFFF"/>
      </x:right>
      <x:top style="thin">
        <x:color rgb="FFFFFFFF"/>
      </x:top>
      <x:bottom style="thin">
        <x:color rgb="FFFFFFFF"/>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31">
    <x:xf numFmtId="0" fontId="0" fillId="0" borderId="0" xfId="0"/>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horizontal="center" wrapText="1"/>
    </x:xf>
    <x:xf numFmtId="0" fontId="5" fillId="3" borderId="2" xfId="0" applyNumberFormat="1" applyFont="1" applyFill="1" applyBorder="1" applyAlignment="1">
      <x:alignment horizontal="center" vertical="center" wrapText="1"/>
    </x:xf>
    <x:xf numFmtId="0" fontId="3" fillId="0" borderId="3"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3"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3" fillId="4" borderId="4" xfId="0" applyNumberFormat="1" applyFont="1" applyFill="1" applyBorder="1" applyAlignment="1">
      <x:alignment vertical="top" wrapText="1"/>
    </x:xf>
    <x:xf numFmtId="0" fontId="3" fillId="4" borderId="5" xfId="0" applyNumberFormat="1" applyFont="1" applyFill="1" applyBorder="1" applyAlignment="1">
      <x:alignment vertical="top" wrapText="1"/>
    </x:xf>
    <x:xf numFmtId="0" fontId="3" fillId="5" borderId="4" xfId="0" applyNumberFormat="1" applyFont="1" applyFill="1" applyBorder="1" applyAlignment="1">
      <x:alignment vertical="top" wrapText="1"/>
    </x:xf>
    <x:xf numFmtId="0" fontId="3" fillId="4" borderId="3" xfId="0" applyNumberFormat="1" applyFont="1" applyFill="1" applyBorder="1" applyAlignment="1">
      <x:alignment horizontal="center" vertical="top" wrapText="1"/>
    </x:xf>
    <x:xf numFmtId="0" fontId="3" fillId="4" borderId="4" xfId="0" applyNumberFormat="1" applyFont="1" applyFill="1" applyBorder="1" applyAlignment="1">
      <x:alignment horizontal="center" vertical="top" wrapText="1"/>
    </x:xf>
    <x:xf numFmtId="0" fontId="3" fillId="5" borderId="4" xfId="0" applyNumberFormat="1" applyFont="1" applyFill="1" applyBorder="1" applyAlignment="1">
      <x:alignment horizontal="center" vertical="top" wrapText="1"/>
    </x:xf>
    <x:xf numFmtId="0" fontId="3" fillId="4" borderId="5"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a56b0d94a2a49a1" /><Relationship Type="http://schemas.openxmlformats.org/officeDocument/2006/relationships/theme" Target="/xl/theme/theme1.xml" Id="Rce61eacf32744b8c" /><Relationship Type="http://schemas.openxmlformats.org/officeDocument/2006/relationships/sharedStrings" Target="/xl/sharedStrings.xml" Id="R053e604bef4a4cf3" /><Relationship Type="http://schemas.openxmlformats.org/officeDocument/2006/relationships/worksheet" Target="/xl/worksheets/sheet1.xml" Id="R2be96eb1cc224211" /><Relationship Type="http://schemas.openxmlformats.org/officeDocument/2006/relationships/worksheet" Target="/xl/worksheets/sheet2.xml" Id="R19b0ffe50360400b" /><Relationship Type="http://schemas.openxmlformats.org/officeDocument/2006/relationships/worksheet" Target="/xl/worksheets/sheet3.xml" Id="R4ecc71c1ae774eeb" /><Relationship Type="http://schemas.openxmlformats.org/officeDocument/2006/relationships/worksheet" Target="/xl/worksheets/sheet4.xml" Id="R0f11d707c3bf4bc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31" hidden="0" customWidth="1"/>
    <x:col min="2" max="2" width="88" hidden="0" customWidth="1"/>
  </x:cols>
  <x:sheetData>
    <x:row r="2">
      <x:c r="A2" s="2" t="str">
        <x:v>B3 blinded study-output rating packet</x:v>
      </x:c>
      <x:c r="B2" s="1"/>
      <x:c r="C2" s="1"/>
      <x:c r="D2" s="1"/>
      <x:c r="E2" s="1"/>
      <x:c r="F2" s="1"/>
      <x:c r="G2" s="1"/>
      <x:c r="H2" s="1"/>
    </x:row>
    <x:row r="5">
      <x:c r="A5" s="3" t="str">
        <x:v>Protocol</x:v>
      </x:c>
      <x:c r="B5" s="5" t="str">
        <x:v>ATSR-SREP-R2-v1.0</x:v>
      </x:c>
    </x:row>
    <x:row r="6">
      <x:c r="A6" s="3" t="str">
        <x:v>Rater ID</x:v>
      </x:c>
      <x:c r="B6" s="5" t="str">
        <x:v>PRACTITIONER-01</x:v>
      </x:c>
    </x:row>
    <x:row r="7">
      <x:c r="A7" s="3" t="str">
        <x:v>Final rubric SHA-256</x:v>
      </x:c>
      <x:c r="B7" s="5" t="str">
        <x:v>dcf39358be89355afc013cdccf55888ca5a96b02862e763c5c39a9acb07b2355</x:v>
      </x:c>
    </x:row>
    <x:row r="8">
      <x:c r="A8" s="3" t="str">
        <x:v>Packet observations</x:v>
      </x:c>
      <x:c r="B8" s="5" t="n">
        <x:v>162</x:v>
      </x:c>
    </x:row>
    <x:row r="9">
      <x:c r="A9" s="3" t="str">
        <x:v>Scorable observations</x:v>
      </x:c>
      <x:c r="B9" s="5" t="n">
        <x:v>132</x:v>
      </x:c>
    </x:row>
    <x:row r="10">
      <x:c r="A10" s="3" t="str">
        <x:v>Structural failures</x:v>
      </x:c>
      <x:c r="B10" s="5" t="n">
        <x:v>30</x:v>
      </x:c>
    </x:row>
    <x:row r="11">
      <x:c r="A11" s="3" t="str">
        <x:v>Ratings complete</x:v>
      </x:c>
      <x:c r="B11" s="5" t="n">
        <x:f>COUNTIFS(Ratings!M5:M166,"Complete")</x:f>
        <x:v>132</x:v>
      </x:c>
    </x:row>
    <x:row r="12">
      <x:c r="A12" s="3" t="str">
        <x:v>Ratings remaining</x:v>
      </x:c>
      <x:c r="B12" s="5" t="n">
        <x:f>B9-B11</x:f>
        <x:v>0</x:v>
      </x:c>
    </x:row>
    <x:row r="13">
      <x:c r="A13" s="3" t="str">
        <x:v>Packet order</x:v>
      </x:c>
      <x:c r="B13" s="5" t="str">
        <x:v>Deterministic rater-specific randomization</x:v>
      </x:c>
    </x:row>
    <x:row r="14">
      <x:c r="A14" s="3" t="str">
        <x:v>Blinding</x:v>
      </x:c>
      <x:c r="B14" s="5" t="str">
        <x:v>Model, provider, condition, run, and original work ID are withheld</x:v>
      </x:c>
    </x:row>
    <x:row r="15">
      <x:c r="A15" s="3" t="str">
        <x:v>Release status</x:v>
      </x:c>
      <x:c r="B15" s="5" t="str">
        <x:v>DO NOT DISTRIBUTE until qualification, ethics, and consent records are confirmed</x:v>
      </x:c>
    </x:row>
    <x:row r="17">
      <x:c r="A17" s="7" t="str">
        <x:v>Instructions</x:v>
      </x:c>
      <x:c r="B17" s="7"/>
      <x:c r="C17" s="7"/>
      <x:c r="D17" s="7"/>
      <x:c r="E17" s="7"/>
      <x:c r="F17" s="7"/>
      <x:c r="G17" s="7"/>
      <x:c r="H17" s="7"/>
    </x:row>
    <x:row r="18" ht="44" customHeight="1">
      <x:c r="A18" s="5" t="str">
        <x:v>1.</x:v>
      </x:c>
      <x:c r="B18" s="5" t="str">
        <x:v>Score independently using only this workbook and the frozen rubric. Do not discuss ratings or inspect another rater's packet.</x:v>
      </x:c>
      <x:c r="C18" s="5"/>
      <x:c r="D18" s="5"/>
      <x:c r="E18" s="5"/>
      <x:c r="F18" s="5"/>
      <x:c r="G18" s="5"/>
      <x:c r="H18" s="5"/>
    </x:row>
    <x:row r="19" ht="44" customHeight="1">
      <x:c r="A19" s="5" t="str">
        <x:v>2.</x:v>
      </x:c>
      <x:c r="B19" s="5" t="str">
        <x:v>Use the Consensus Reference and the specification shown in each Ratings row. Do not infer hidden model, condition, provider, run, or work ID.</x:v>
      </x:c>
      <x:c r="C19" s="5"/>
      <x:c r="D19" s="5"/>
      <x:c r="E19" s="5"/>
      <x:c r="F19" s="5"/>
      <x:c r="G19" s="5"/>
      <x:c r="H19" s="5"/>
    </x:row>
    <x:row r="20" ht="44" customHeight="1">
      <x:c r="A20" s="5" t="str">
        <x:v>3.</x:v>
      </x:c>
      <x:c r="B20" s="5" t="str">
        <x:v>Enter integer scores from 1 to 5 in all five score columns for every Scorable row.</x:v>
      </x:c>
      <x:c r="C20" s="5"/>
      <x:c r="D20" s="5"/>
      <x:c r="E20" s="5"/>
      <x:c r="F20" s="5"/>
      <x:c r="G20" s="5"/>
      <x:c r="H20" s="5"/>
    </x:row>
    <x:row r="21" ht="44" customHeight="1">
      <x:c r="A21" s="5" t="str">
        <x:v>4.</x:v>
      </x:c>
      <x:c r="B21" s="5" t="str">
        <x:v>Use Rationale / notes to explain any score of 1, 2, or 5 and any judgment relying on implicit domain knowledge. Label dimensions when several explanations share one note.</x:v>
      </x:c>
      <x:c r="C21" s="5"/>
      <x:c r="D21" s="5"/>
      <x:c r="E21" s="5"/>
      <x:c r="F21" s="5"/>
      <x:c r="G21" s="5"/>
      <x:c r="H21" s="5"/>
    </x:row>
    <x:row r="22" ht="44" customHeight="1">
      <x:c r="A22" s="5" t="str">
        <x:v>5.</x:v>
      </x:c>
      <x:c r="B22" s="5" t="str">
        <x:v>Do not score rows marked Not scorable. Their blank scores represent retained structural failures and must not be repaired or replaced.</x:v>
      </x:c>
      <x:c r="C22" s="5"/>
      <x:c r="D22" s="5"/>
      <x:c r="E22" s="5"/>
      <x:c r="F22" s="5"/>
      <x:c r="G22" s="5"/>
      <x:c r="H22" s="5"/>
    </x:row>
    <x:row r="23" ht="44" customHeight="1">
      <x:c r="A23" s="5" t="str">
        <x:v>6.</x:v>
      </x:c>
      <x:c r="B23" s="5" t="str">
        <x:v>Return the workbook without renaming sheets, changing Blind item IDs, sorting rows, or modifying specification, recommendation, or reference text.</x:v>
      </x:c>
      <x:c r="C23" s="5"/>
      <x:c r="D23" s="5"/>
      <x:c r="E23" s="5"/>
      <x:c r="F23" s="5"/>
      <x:c r="G23" s="5"/>
      <x:c r="H23" s="5"/>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1" hidden="0" customWidth="1"/>
    <x:col min="3" max="3" width="82" hidden="0" customWidth="1"/>
    <x:col min="4" max="4" width="105" hidden="0" customWidth="1"/>
    <x:col min="5" max="5" width="24" hidden="0" customWidth="1"/>
    <x:col min="6" max="6" width="14" hidden="0" customWidth="1"/>
    <x:col min="7" max="7" width="14" hidden="0" customWidth="1"/>
    <x:col min="8" max="8" width="16" hidden="0" customWidth="1"/>
    <x:col min="9" max="9" width="19" hidden="0" customWidth="1"/>
    <x:col min="10" max="10" width="21" hidden="0" customWidth="1"/>
    <x:col min="11" max="11" width="10" hidden="0" customWidth="1"/>
    <x:col min="12" max="12" width="46" hidden="0" customWidth="1"/>
    <x:col min="13" max="13" width="18" hidden="0" customWidth="1"/>
  </x:cols>
  <x:sheetData>
    <x:row r="2">
      <x:c r="A2" s="2" t="str">
        <x:v>Blinded output ratings</x:v>
      </x:c>
      <x:c r="B2" s="1"/>
      <x:c r="C2" s="1"/>
      <x:c r="D2" s="1"/>
      <x:c r="E2" s="1"/>
      <x:c r="F2" s="1"/>
      <x:c r="G2" s="1"/>
      <x:c r="H2" s="1"/>
      <x:c r="I2" s="1"/>
      <x:c r="J2" s="1"/>
      <x:c r="K2" s="1"/>
      <x:c r="L2" s="1"/>
      <x:c r="M2" s="1"/>
    </x:row>
    <x:row r="4">
      <x:c r="A4" s="13" t="str">
        <x:v>Blind item ID</x:v>
      </x:c>
      <x:c r="B4" s="13" t="str">
        <x:v>Spec ID</x:v>
      </x:c>
      <x:c r="C4" s="13" t="str">
        <x:v>Specification</x:v>
      </x:c>
      <x:c r="D4" s="13" t="str">
        <x:v>Candidate recommendation</x:v>
      </x:c>
      <x:c r="E4" s="13" t="str">
        <x:v>Observation status</x:v>
      </x:c>
      <x:c r="F4" s="13" t="str">
        <x:v>Completeness</x:v>
      </x:c>
      <x:c r="G4" s="13" t="str">
        <x:v>Specificity</x:v>
      </x:c>
      <x:c r="H4" s="13" t="str">
        <x:v>Risk Calibration</x:v>
      </x:c>
      <x:c r="I4" s="13" t="str">
        <x:v>Integration Awareness</x:v>
      </x:c>
      <x:c r="J4" s="13" t="str">
        <x:v>Clarification Flag Quality</x:v>
      </x:c>
      <x:c r="K4" s="13" t="str">
        <x:v>Total</x:v>
      </x:c>
      <x:c r="L4" s="13" t="str">
        <x:v>Rationale / notes</x:v>
      </x:c>
      <x:c r="M4" s="13" t="str">
        <x:v>Rating status</x:v>
      </x:c>
    </x:row>
    <x:row r="5" ht="180" customHeight="1">
      <x:c r="A5" s="20" t="str">
        <x:v>RATE-05DDA7A630B5</x:v>
      </x:c>
      <x:c r="B5" s="20" t="str">
        <x:v>SPEC-05</x:v>
      </x:c>
      <x:c r="C5" s="20"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5" s="20" t="str">
        <x:v>Coverage depth: MEDIUM
Depth justification: The new feature introduces a new size tier and pricing rules, but does not fundamentally change existing system behavior
Functional tests:
1. Verify the new extra-large size tier is available for iced coffee, iced latte, and refreshers (standard varieties) in the menu configuration
2. Verify the new extra-large size tier is priced as 2x the medium beverage price for each eligible drink type
3. Verify the default modifier count for the new extra-large size tier is 6
4. Verify all modifications remain available for the new extra-large size tier
5. Verify seasonal hero build variants are correctly added for specific items
Smoke tests:
1. Place an order for each eligible drink type in the new extra-large size tier to verify successful order processing
2. Verify the POS ordering system correctly displays the new extra-large size tier and pricing
Regression tests:
1. Verify existing menu items and size tiers are unaffected by the introduction of the new extra-large size tier
2. Verify the pricing engine correctly handles threshold pricing for the new extra-large size tier
3. Verify modifications can still be applied to existing menu items and size tiers
Integration tests:
1. Verify the new extra-large size tier is correctly integrated with the pricing engine and threshold pricing rules
2. Verify the new extra-large size tier is correctly displayed and priced in the POS ordering system
Exploratory tests:
1. Test ordering multiple items with the new extra-large size tier to verify correct pricing and order processing
2. Test applying multiple modifications to an item in the new extra-large size tier to verify correct pricing and order processing
3. Test edge cases such as ordering an item with the maximum number of modifications in the new extra-large size tier
Clarification flags:
1. Confirmation of the exact seasonal hero build variants and their pricing rules
2. Details on how the new extra-large size tier will be displayed in the menu configuration and POS ordering system
3. Information on any potential limitations or restrictions on modifications for the new extra-large size tier
Effort estimate: 20–40 test cases
Effort notes: The estimate assumes a small QA team and a moderate level of complexity in the new feature</x:v>
      </x:c>
      <x:c r="E5" s="20" t="str">
        <x:v>Scorable</x:v>
      </x:c>
      <x:c r="F5" s="27" t="n">
        <x:v>4</x:v>
      </x:c>
      <x:c r="G5" s="27" t="n">
        <x:v>4</x:v>
      </x:c>
      <x:c r="H5" s="27" t="n">
        <x:v>2</x:v>
      </x:c>
      <x:c r="I5" s="27" t="n">
        <x:v>3</x:v>
      </x:c>
      <x:c r="J5" s="27" t="n">
        <x:v>3</x:v>
      </x:c>
      <x:c r="K5" s="27" t="n">
        <x:f>IF(E5&lt;&gt;"Scorable","",IF(COUNT(F5:J5)=5,SUM(F5:J5),""))</x:f>
        <x:v>16</x:v>
      </x:c>
      <x:c r="L5" s="23" t="str">
        <x:v>Risk 2: a critical or multiple important consensus expectations remain weak or missing; Frozen implicit consensus elements were treated as essential where applicable.</x:v>
      </x:c>
      <x:c r="M5" s="20" t="str">
        <x:f>IF(E5&lt;&gt;"Scorable","Not scorable",IF(COUNT(F5:J5)&lt;&gt;5,"Missing scores",IF(AND(COUNTIFS(F5:J5,1)+COUNTIFS(F5:J5,2)+COUNTIFS(F5:J5,5)&gt;0,L5=""),"Missing rationale","Complete")))</x:f>
        <x:v>Complete</x:v>
      </x:c>
    </x:row>
    <x:row r="6" ht="180" customHeight="1">
      <x:c r="A6" s="21" t="str">
        <x:v>RATE-657632893BFD</x:v>
      </x:c>
      <x:c r="B6" s="21" t="str">
        <x:v>SPEC-16</x:v>
      </x:c>
      <x:c r="C6"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6" s="21" t="str">
        <x:v>Coverage depth: MEDIUM
Depth justification: The new BIN ranges are expected to be non-intrusive, but thorough testing is required to ensure no unintended consequences
Functional tests:
1. Validate existing serialized coupons can be successfully applied at POS with new BIN ranges
2. Verify existing discounts are correctly calculated and applied with new BIN ranges
3. Confirm new BIN ranges do not cause errors or exceptions for existing coupons and discounts
Smoke tests:
1. Quick validation of existing coupon and discount functionality after new BIN ranges added
Regression tests:
1. Test existing serialized coupons with various scenarios (e.g., multiple coupons, expired coupons, coupons with specific conditions)
2. Validate existing discounts with different types of products and services
3. Verify system behavior when new and existing BIN ranges overlap or conflict
Integration tests:
1. Test integration between content management system, POS, and coupon/discount processing with new BIN ranges
Exploratory tests:
1. Explore system behavior with edge cases, such as large numbers of coupons or discounts, or unusual coupon/discount configurations
Clarification flags:
1. Confirmation of the exact go-live date and deployment timeline
2. Details on the specific new BIN ranges added and their expected behavior
3. Information on any existing coupon or discount configurations that may be particularly sensitive to changes in BIN ranges
Effort estimate: 20–50 test cases
Effort notes: Effort estimate depends on the complexity of existing coupon and discount configurations, as well as the number of new BIN ranges added</x:v>
      </x:c>
      <x:c r="E6" s="21" t="str">
        <x:v>Scorable</x:v>
      </x:c>
      <x:c r="F6" s="28" t="n">
        <x:v>3</x:v>
      </x:c>
      <x:c r="G6" s="28" t="n">
        <x:v>3</x:v>
      </x:c>
      <x:c r="H6" s="28" t="n">
        <x:v>4</x:v>
      </x:c>
      <x:c r="I6" s="28" t="n">
        <x:v>3</x:v>
      </x:c>
      <x:c r="J6" s="28" t="n">
        <x:v>3</x:v>
      </x:c>
      <x:c r="K6" s="28" t="n">
        <x:f>IF(E6&lt;&gt;"Scorable","",IF(COUNT(F6:J6)=5,SUM(F6:J6),""))</x:f>
        <x:v>16</x:v>
      </x:c>
      <x:c r="L6" s="24" t="str">
        <x:v>Frozen implicit consensus elements were treated as essential where applicable.</x:v>
      </x:c>
      <x:c r="M6" s="21" t="str">
        <x:f>IF(E6&lt;&gt;"Scorable","Not scorable",IF(COUNT(F6:J6)&lt;&gt;5,"Missing scores",IF(AND(COUNTIFS(F6:J6,1)+COUNTIFS(F6:J6,2)+COUNTIFS(F6:J6,5)&gt;0,L6=""),"Missing rationale","Complete")))</x:f>
        <x:v>Complete</x:v>
      </x:c>
    </x:row>
    <x:row r="7" ht="180" customHeight="1">
      <x:c r="A7" s="21" t="str">
        <x:v>RATE-8B4A1466336A</x:v>
      </x:c>
      <x:c r="B7" s="21" t="str">
        <x:v>SPEC-16</x:v>
      </x:c>
      <x:c r="C7"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7" s="21" t="str">
        <x:v>Coverage depth: MEDIUM
Depth justification: The change introduces new BIN ranges but does not modify existing serialized coupon logic. However, the business impact of coupon processing errors is significant, requiring thorough regression testing.
Functional tests:
1. Validate that existing serialized coupons are still redeemable at the POS using the current BIN ranges.
2. Verify that existing discounts applied via serialized coupons calculate correctly at the POS.
3. Ensure that serialized coupons with expiration dates outside the current date range are correctly rejected.
Smoke tests:
1. Confirm that the POS system processes a basic transaction without applying any coupons or discounts.
2. Verify that the content management system displays the existing serialized coupons without errors.
Regression tests:
1. Test a variety of serialized coupons (e.g., percentage discounts, fixed amount discounts, and BOGO offers) to ensure they function as expected.
2. Validate that serialized coupons with overlapping BIN ranges do not interfere with each other.
3. Check that serialized coupons with specific customer restrictions (e.g., loyalty members only) still apply correctly.
4. Ensure that serialized coupons with product-specific restrictions (e.g., valid only for certain SKUs) function as expected.
Integration tests:
1. Verify that the POS system correctly retrieves serialized coupon data from the content management system.
2. Confirm that the content management system updates propagate correctly to the POS system after synchronization.
3. Test the end-to-end flow of applying a serialized coupon from content management system configuration to POS redemption.
Exploratory tests:
1. Attempt to redeem a serialized coupon with an invalid BIN range to ensure it is rejected.
2. Test the behavior when multiple serialized coupons are applied in a single transaction to check for conflicts.
3. Simulate high transaction volume at the POS to observe any performance degradation in coupon processing.
4. Test edge cases such as redeeming a serialized coupon at the exact moment it expires.
Clarification flags:
1. Are there specific serialized coupons or BIN ranges that should be prioritized for testing?
2. What is the exact timeline for deploying the content records to production?
3. Are there any known dependencies or recent changes in the POS or content management system that could affect testing?
Effort estimate: 10–20 test cases
Effort notes: The estimate assumes a small QA team with access to a stable UAT environment and pre-configured test data for serialized coupons.</x:v>
      </x:c>
      <x:c r="E7" s="21" t="str">
        <x:v>Scorable</x:v>
      </x:c>
      <x:c r="F7" s="28" t="n">
        <x:v>3</x:v>
      </x:c>
      <x:c r="G7" s="28" t="n">
        <x:v>3</x:v>
      </x:c>
      <x:c r="H7" s="28" t="n">
        <x:v>5</x:v>
      </x:c>
      <x:c r="I7" s="28" t="n">
        <x:v>3</x:v>
      </x:c>
      <x:c r="J7" s="28" t="n">
        <x:v>3</x:v>
      </x:c>
      <x:c r="K7" s="28" t="n">
        <x:f>IF(E7&lt;&gt;"Scorable","",IF(COUNT(F7:J7)=5,SUM(F7:J7),""))</x:f>
        <x:v>17</x:v>
      </x:c>
      <x:c r="L7" s="24" t="str">
        <x:v>Risk 5: depth matches consensus and the justification is materially risk-specific; Frozen implicit consensus elements were treated as essential where applicable.</x:v>
      </x:c>
      <x:c r="M7" s="21" t="str">
        <x:f>IF(E7&lt;&gt;"Scorable","Not scorable",IF(COUNT(F7:J7)&lt;&gt;5,"Missing scores",IF(AND(COUNTIFS(F7:J7,1)+COUNTIFS(F7:J7,2)+COUNTIFS(F7:J7,5)&gt;0,L7=""),"Missing rationale","Complete")))</x:f>
        <x:v>Complete</x:v>
      </x:c>
    </x:row>
    <x:row r="8" ht="180" customHeight="1">
      <x:c r="A8" s="21" t="str">
        <x:v>RATE-3F2AF909E56A</x:v>
      </x:c>
      <x:c r="B8" s="21" t="str">
        <x:v>SPEC-11</x:v>
      </x:c>
      <x:c r="C8"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8" s="21" t="str">
        <x:v>Coverage depth: HIGH
Depth justification: The price lock behavior has a direct impact on customer orders and revenue, and the outcome of this testing has urgency due to a pending product decision
Functional tests:
1. Place an advance order for multiple items via the mobile app with a future pickup time and complete payment
2. Verify the order summary displays the correct prices for each item at the time of ordering
3. Change the price of one or more ordered items in the system before the order is fulfilled
4. Confirm the order processes at the price locked in at the time of ordering when sent to the POS for fulfillment
Smoke tests:
1. Verify the mobile app allows advance orders with future pickup times
2. Confirm payment processing works correctly for advance orders
Regression tests:
1. Test that changing item prices after an order is placed does not affect other orders
2. Verify that orders placed before the price change are not affected by the new price
Integration tests:
1. Test the integration between the mobile app and the pricing engine to ensure price locking works correctly
2. Verify the integration between the mobile app and the POS system to ensure orders are sent correctly with the locked price
Exploratory tests:
1. Test with multiple price changes before fulfillment to ensure the locked price is retained
2. Explore scenarios where the price change occurs close to the pickup time to ensure timely processing
3. Investigate how the system handles price changes that occur during periods of high order volume or system stress
Clarification flags:
1. How does the system currently handle price changes for advance orders?
2. Are there any specific error handling or logging mechanisms in place for price discrepancies or order processing issues?
3. What are the exact scenarios or conditions under which the price lock behavior is expected to occur or not occur?
Effort estimate: 15–30 test cases
Effort notes: The estimate includes testing various scenarios, such as different price change combinations, multiple orders, and edge cases like price changes near the pickup time</x:v>
      </x:c>
      <x:c r="E8" s="21" t="str">
        <x:v>Scorable</x:v>
      </x:c>
      <x:c r="F8" s="28" t="n">
        <x:v>4</x:v>
      </x:c>
      <x:c r="G8" s="28" t="n">
        <x:v>4</x:v>
      </x:c>
      <x:c r="H8" s="28" t="n">
        <x:v>4</x:v>
      </x:c>
      <x:c r="I8" s="28" t="n">
        <x:v>4</x:v>
      </x:c>
      <x:c r="J8" s="28" t="n">
        <x:v>2</x:v>
      </x:c>
      <x:c r="K8" s="28" t="n">
        <x:f>IF(E8&lt;&gt;"Scorable","",IF(COUNT(F8:J8)=5,SUM(F8:J8),""))</x:f>
        <x:v>18</x:v>
      </x:c>
      <x:c r="L8" s="24" t="str">
        <x:v>Clarification 2: a critical or multiple important consensus expectations remain weak or missing; Frozen implicit consensus elements were treated as essential where applicable.</x:v>
      </x:c>
      <x:c r="M8" s="21" t="str">
        <x:f>IF(E8&lt;&gt;"Scorable","Not scorable",IF(COUNT(F8:J8)&lt;&gt;5,"Missing scores",IF(AND(COUNTIFS(F8:J8,1)+COUNTIFS(F8:J8,2)+COUNTIFS(F8:J8,5)&gt;0,L8=""),"Missing rationale","Complete")))</x:f>
        <x:v>Complete</x:v>
      </x:c>
    </x:row>
    <x:row r="9" ht="180" customHeight="1">
      <x:c r="A9" s="21" t="str">
        <x:v>RATE-67FB1712E1DD</x:v>
      </x:c>
      <x:c r="B9" s="21" t="str">
        <x:v>SPEC-09</x:v>
      </x:c>
      <x:c r="C9"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9" s="21" t="str">
        <x:v>Coverage depth: MEDIUM
Depth justification: The change is limited in scope to one delivery platform and a single configuration setting, but it impacts multiple system areas including reporting, data pipelines, and potentially third-party systems.
Functional tests:
1. Verify that the delivery markup percentage for the specified third-party delivery platform is updated to 26% in the reporting and analytics configuration tool.
2. Validate that the change applies only to the specified delivery platform and does not affect other platforms.
3. Confirm whether the markup change applies retroactively to prior transactions or only prospectively, based on system behavior.
4. Ensure that the updated percentage is correctly reflected in the data pipeline and reporting outputs.
Smoke tests:
1. Verify that the reporting and analytics configuration tool is accessible and functional after the change.
2. Check that the updated markup percentage is visible and correctly saved in the configuration tool.
Regression tests:
1. Validate that other delivery platforms retain their existing markup percentages and are unaffected by this change.
2. Ensure that the reporting and analytics configuration tool continues to function as expected for unrelated settings.
3. Confirm that historical data for other platforms remains unchanged.
Integration tests:
1. Verify that the updated markup percentage is correctly transmitted to the data pipeline.
2. Ensure that the third-party reporting platform reflects the updated percentage if applicable.
3. Test the end-to-end flow from configuration change to reporting output to confirm data consistency.
Exploratory tests:
1. Explore edge cases such as transactions occurring at the boundary of the effective date to confirm correct application of the markup.
2. Investigate any discrepancies in reporting outputs for the specified delivery platform before and after the change.
3. Test for any unexpected impacts on unrelated system areas, such as other reporting metrics or platforms.
Clarification flags:
1. Confirm whether the markup change applies retroactively or only prospectively.
2. Clarify if the third-party reporting platform requires a corresponding change and whether it is in scope for this testing.
3. Specify the effective date for the markup change to ensure accurate testing.
Effort estimate: 10–15 test cases
Effort notes: Effort includes functional validation, regression testing, and integration checks across multiple environments (UAT, Pre-Production, Production).</x:v>
      </x:c>
      <x:c r="E9" s="21" t="str">
        <x:v>Scorable</x:v>
      </x:c>
      <x:c r="F9" s="28" t="n">
        <x:v>4</x:v>
      </x:c>
      <x:c r="G9" s="28" t="n">
        <x:v>4</x:v>
      </x:c>
      <x:c r="H9" s="28" t="n">
        <x:v>3</x:v>
      </x:c>
      <x:c r="I9" s="28" t="n">
        <x:v>4</x:v>
      </x:c>
      <x:c r="J9" s="28" t="n">
        <x:v>5</x:v>
      </x:c>
      <x:c r="K9" s="28" t="n">
        <x:f>IF(E9&lt;&gt;"Scorable","",IF(COUNT(F9:J9)=5,SUM(F9:J9),""))</x:f>
        <x:v>20</x:v>
      </x:c>
      <x:c r="L9" s="24" t="str">
        <x:v>Clarification 5: material consensus ambiguities are directly and actionably addressed; Frozen implicit consensus elements were treated as essential where applicable.</x:v>
      </x:c>
      <x:c r="M9" s="21" t="str">
        <x:f>IF(E9&lt;&gt;"Scorable","Not scorable",IF(COUNT(F9:J9)&lt;&gt;5,"Missing scores",IF(AND(COUNTIFS(F9:J9,1)+COUNTIFS(F9:J9,2)+COUNTIFS(F9:J9,5)&gt;0,L9=""),"Missing rationale","Complete")))</x:f>
        <x:v>Complete</x:v>
      </x:c>
    </x:row>
    <x:row r="10" ht="180" customHeight="1">
      <x:c r="A10" s="21" t="str">
        <x:v>RATE-A5ED647A3750</x:v>
      </x:c>
      <x:c r="B10" s="21" t="str">
        <x:v>SPEC-08</x:v>
      </x:c>
      <x:c r="C10"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0" s="21" t="str">
        <x:v>Terminal invalid JSON. This observation is retained as a structural failure and receives no rubric score.</x:v>
      </x:c>
      <x:c r="E10" s="21" t="str">
        <x:v>Not scorable — terminal invalid JSON</x:v>
      </x:c>
      <x:c r="F10" s="29"/>
      <x:c r="G10" s="29"/>
      <x:c r="H10" s="29"/>
      <x:c r="I10" s="29"/>
      <x:c r="J10" s="29"/>
      <x:c r="K10" s="29" t="str">
        <x:f>IF(E10&lt;&gt;"Scorable","",IF(COUNT(F10:J10)=5,SUM(F10:J10),""))</x:f>
      </x:c>
      <x:c r="L10" s="26"/>
      <x:c r="M10" s="21" t="str">
        <x:f>IF(E10&lt;&gt;"Scorable","Not scorable",IF(COUNT(F10:J10)&lt;&gt;5,"Missing scores",IF(AND(COUNTIFS(F10:J10,1)+COUNTIFS(F10:J10,2)+COUNTIFS(F10:J10,5)&gt;0,L10=""),"Missing rationale","Complete")))</x:f>
        <x:v>Not scorable</x:v>
      </x:c>
    </x:row>
    <x:row r="11" ht="180" customHeight="1">
      <x:c r="A11" s="21" t="str">
        <x:v>RATE-E6A18E79A154</x:v>
      </x:c>
      <x:c r="B11" s="21" t="str">
        <x:v>SPEC-03</x:v>
      </x:c>
      <x:c r="C11"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1" s="21" t="str">
        <x:v>Coverage depth: HIGH
Depth justification: This is a critical infrastructure replacement affecting multiple production networks and devices, requiring comprehensive testing to ensure reliability and performance.
Functional tests:
1. Verify connectivity of management devices on the staff/management network using the new Wi-Fi 7 access point.
2. Verify connectivity of brand-approved devices on the brand-approved device network using the new Wi-Fi 7 access point.
3. Verify connectivity of line-busting tablets on the POS/line-busting network using the new Wi-Fi 7 access point.
4. Verify connectivity of guest devices on the guest network using the new Wi-Fi 7 access point.
5. Test the ability to switch between primary and secondary network templates without connectivity loss.
Smoke tests:
1. Ensure basic connectivity for at least one device on each network type (staff/management, brand-approved, POS/line-busting, guest).
2. Verify that the new Wi-Fi 7 access point broadcasts all required SSIDs.
Regression tests:
1. Verify that existing Wi-Fi 6 devices can still connect to the new Wi-Fi 7 access point.
2. Test network performance metrics (latency, throughput) on all network types to ensure no degradation compared to Wi-Fi 6 access points.
3. Validate that security protocols (e.g., WPA3) are functioning as expected on all network types.
Integration tests:
1. Test integration of the new Wi-Fi 7 access point with the central network management system.
2. Verify that the new access point correctly logs events and sends them to the monitoring system.
3. Test failover scenarios between primary and secondary network templates with the new hardware.
Exploratory tests:
1. Test device roaming between multiple new Wi-Fi 7 access points in a lab environment.
2. Explore edge cases with mixed Wi-Fi 6 and Wi-Fi 7 devices on the same network.
3. Test connectivity under high device density scenarios to evaluate performance.
Clarification flags:
1. Are there any specific performance benchmarks or SLAs for the new Wi-Fi 7 access points?
2. Are there any known compatibility concerns with existing devices or network configurations?
3. Should testing include any specific security compliance checks beyond WPA3 validation?
Effort estimate: 20–35 test cases
Effort notes: Effort includes functional, regression, integration, and exploratory testing across multiple network types and device categories.</x:v>
      </x:c>
      <x:c r="E11" s="21" t="str">
        <x:v>Scorable</x:v>
      </x:c>
      <x:c r="F11" s="28" t="n">
        <x:v>4</x:v>
      </x:c>
      <x:c r="G11" s="28" t="n">
        <x:v>4</x:v>
      </x:c>
      <x:c r="H11" s="28" t="n">
        <x:v>5</x:v>
      </x:c>
      <x:c r="I11" s="28" t="n">
        <x:v>2</x:v>
      </x:c>
      <x:c r="J11" s="28" t="n">
        <x:v>3</x:v>
      </x:c>
      <x:c r="K11" s="28" t="n">
        <x:f>IF(E11&lt;&gt;"Scorable","",IF(COUNT(F11:J11)=5,SUM(F11:J11),""))</x:f>
        <x:v>18</x:v>
      </x:c>
      <x:c r="L11" s="24" t="str">
        <x:v>Risk 5: depth matches consensus and the justification is materially risk-specific; Integration 2: a critical or multiple important consensus expectations remain weak or missing; Frozen implicit consensus elements were treated as essential where applicable.</x:v>
      </x:c>
      <x:c r="M11" s="21" t="str">
        <x:f>IF(E11&lt;&gt;"Scorable","Not scorable",IF(COUNT(F11:J11)&lt;&gt;5,"Missing scores",IF(AND(COUNTIFS(F11:J11,1)+COUNTIFS(F11:J11,2)+COUNTIFS(F11:J11,5)&gt;0,L11=""),"Missing rationale","Complete")))</x:f>
        <x:v>Complete</x:v>
      </x:c>
    </x:row>
    <x:row r="12" ht="180" customHeight="1">
      <x:c r="A12" s="21" t="str">
        <x:v>RATE-A9EE314F8263</x:v>
      </x:c>
      <x:c r="B12" s="21" t="str">
        <x:v>SPEC-01</x:v>
      </x:c>
      <x:c r="C12"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12" s="21" t="str">
        <x:v>Coverage depth: MEDIUM
Depth justification: The change involves an integration patch which could have broader implications on system behavior, especially concerning data consistency across different platforms.
Functional tests:
1. Verify that marking a menu item as Out of Stock on the POS immediately updates its status to Out of Stock on the POS.
2. Verify that after the sync interval, the Out of Stock status is correctly propagated to the online ordering portal, making the item unavailable for ordering.
3. Verify that customers cannot add an Out of Stock item to their cart on the online web and mobile ordering apps.
4. Verify that removing the Out of Stock flag and saving the change makes the item visible and orderable again on both the POS and online ordering apps.
Smoke tests:
1. Verify that the menu sync process completes successfully overnight without errors.
2. Verify that other menu items not marked as Out of Stock remain available for ordering on the online portal.
3. Verify that the online ordering portal's functionality for ordering available items remains unaffected.
Regression tests:
1. Verify that existing menu items' availability status is correctly reflected on both the POS and the online ordering portal.
2. Verify that the online ordering portal correctly handles multiple items being marked as Out of Stock and then made available again.
3. Verify that the sync process does not introduce any inconsistencies in menu item pricing or descriptions.
Integration tests:
1. Verify end-to-end that changes made to menu items on the POS are correctly synced to the online ordering portal, including availability status.
2. Verify that the online ordering portal's integration with the POS for menu syncing works correctly for various scenarios (e.g., item availability changes, new item additions, item removals).
Exploratory tests:
1. Test the boundary conditions around the sync interval to ensure that the Out of Stock status is propagated correctly near the edges of the sync window.
2. Explore the behavior when multiple items are marked as Out of Stock in rapid succession to ensure the online portal updates correctly.
3. Investigate how the system handles network or connectivity issues during the sync process and verify that it recovers gracefully.
Clarification flags:
1. Specific details on the sync interval and how it is configured.
2. Information on any recent changes to the POS or online ordering portal that could affect this integration.
3. Details on error handling and logging mechanisms in place for the menu sync process.
Effort estimate: 15–30 test cases
Effort notes: The estimate considers the need for thorough testing of the integration between the POS and the online ordering portal, including various scenarios and edge cases.</x:v>
      </x:c>
      <x:c r="E12" s="21" t="str">
        <x:v>Scorable</x:v>
      </x:c>
      <x:c r="F12" s="28" t="n">
        <x:v>4</x:v>
      </x:c>
      <x:c r="G12" s="28" t="n">
        <x:v>4</x:v>
      </x:c>
      <x:c r="H12" s="28" t="n">
        <x:v>2</x:v>
      </x:c>
      <x:c r="I12" s="28" t="n">
        <x:v>3</x:v>
      </x:c>
      <x:c r="J12" s="28" t="n">
        <x:v>2</x:v>
      </x:c>
      <x:c r="K12" s="28" t="n">
        <x:f>IF(E12&lt;&gt;"Scorable","",IF(COUNT(F12:J12)=5,SUM(F12:J12),""))</x:f>
        <x:v>15</x:v>
      </x:c>
      <x:c r="L12"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12" s="21" t="str">
        <x:f>IF(E12&lt;&gt;"Scorable","Not scorable",IF(COUNT(F12:J12)&lt;&gt;5,"Missing scores",IF(AND(COUNTIFS(F12:J12,1)+COUNTIFS(F12:J12,2)+COUNTIFS(F12:J12,5)&gt;0,L12=""),"Missing rationale","Complete")))</x:f>
        <x:v>Complete</x:v>
      </x:c>
    </x:row>
    <x:row r="13" ht="180" customHeight="1">
      <x:c r="A13" s="21" t="str">
        <x:v>RATE-9A8ABCCDEF7F</x:v>
      </x:c>
      <x:c r="B13" s="21" t="str">
        <x:v>SPEC-11</x:v>
      </x:c>
      <x:c r="C13"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3" s="21" t="str">
        <x:v>Coverage depth: HIGH
Depth justification: This is an urgent exploratory validation with a direct product decision dependency. The behavior is currently unconfirmed, the system spans multiple integrated components (mobile app, pricing engine, POS), and price integrity failures carry financial, legal, and customer trust risk. Comprehensive coverage across functional, integration, and edge case dimensions is warranted.
Functional tests:
1. Place an advance order for a single item, change item price before fulfillment, verify POS receives and processes the original locked price
2. Place an advance order for multiple items, change price on one item only, verify only the changed item retains locked price while others are unaffected
3. Place an advance order for multiple items, change prices on all items before fulfillment, verify all items process at their respective locked prices
4. Verify the order confirmation receipt/summary in the mobile app displays the price at time of ordering, not the updated price
5. Verify the POS order ticket displays the locked price and not the current system price at time of fulfillment
6. Verify the payment charge to the customer matches the locked price total, not the updated price total
7. Place an advance order, increase item price before fulfillment, verify no overcharge occurs and locked price is honored
8. Place an advance order, decrease item price before fulfillment, verify no undercharge occurs and locked price is honored (or document actual behavior)
9. Verify that a price change applied after order placement but before the scheduled pickup window does not trigger any error or cancellation
10. Verify that a price change applied within minutes of the scheduled pickup time does not cause a race condition or price mismatch error
11. Verify the order total transmitted from mobile app to POS matches the total calculated at time of order placement
12. Verify that tax calculations are based on the locked item price, not the updated price, at fulfillment time
13. Verify behavior when a price change results in a $0.00 or negative price edge case (e.g., item marked free) before fulfillment
14. Verify that loyalty points or rewards calculated at order time are not recalculated based on updated prices at fulfillment
Smoke tests:
1. Place a basic advance order for one item, change the item price in the system, fulfill the order the following day, and confirm no errors occur during POS processing
2. Verify the mobile app successfully transmits the advance order to the POS at the scheduled pickup time after a price change has occurred
3. Confirm the customer-facing receipt total matches the amount charged at time of original order placement
Regression tests:
1. Verify that advance orders with no price changes still process correctly and are unaffected by this price-lock logic
2. Verify that same-day (non-advance) orders are not inadvertently affected by any price-lock mechanism introduced or confirmed
3. Verify that manual price overrides applied at the POS level still function correctly when a price-locked advance order is present
4. Verify that order modification flows (e.g., customer edits advance order before pickup) correctly re-evaluate or retain price lock as appropriate
5. Verify that refund and cancellation flows for advance orders still calculate correctly against the original locked price
6. Verify that reporting and sales reconciliation data reflects the locked price, not the updated price, for fulfilled advance orders
7. Verify that multiple concurrent advance orders with price-locked items do not interfere with each other during batch fulfillment
8. Verify that the pricing engine update process itself is not broken or delayed by the existence of price-locked advance orders
Integration tests:
1. Verify end-to-end data flow: mobile app order payload contains locked price fields and POS correctly reads and applies those fields without overriding with live pricing lookup
2. Verify that the pricing engine price update API does not retroactively alter stored advance order records in the database
3. Verify that the mobile app order service and POS integration layer correctly version or snapshot item prices at order creation time
4. Verify that payment gateway settlement amount matches the mobile app order total (locked price) and not the POS live price at fulfillment
5. Verify that the order management system correctly stores and retrieves the locked price snapshot for each line item across the order lifecycle
6. Verify that any middleware or message queue between mobile app and POS preserves the locked price fields without transformation or loss
7. Verify that POS system does not perform a live price lookup that overrides the transmitted locked price during order ingestion
8. Verify behavior when the pricing engine and POS are temporarily out of sync during the fulfillment window
Exploratory tests:
1. Explore what happens when an item is both price-changed and marked out-of-stock before fulfillment — does the system handle both conditions gracefully?
2. Explore whether the mobile app UI shows any indication to the customer that the current price differs from their locked order price
3. Explore rapid successive price changes on the same item between order placement and fulfillment to identify any instability or final-value ambiguity
4. Explore the scenario where a promotional/discount price is applied after order placement — does the customer benefit, or is the original price strictly locked?
5. Explore the scenario where an item is removed from the menu entirely after order placement but before fulfillment
6. Explore edge cases around timezone handling if the scheduled pickup time crosses a midnight boundary when price changes are batch-applied
7. Explore whether staff can manually override the locked price at the POS and what audit trail exists if they do
8. Explore the behavior when a price change is rolled back before fulfillment — does the order process at the original price, the changed price, or the rolled-back price?
9. Explore what error messages or fallback behaviors are presented to staff or customers if a price discrepancy is detected at fulfillment
10. Explore whether the price lock behavior is documented or enforced by policy in the system, or is an emergent/untested assumption
Clarification flags:
1. Is the locked price stored explicitly in the order record at time of placement, or is it expected to be derived/re-fetched at fulfillment? This fundamentally affects where the bug would exist if behavior is incorrect.
2. What is the exact mechanism by which the mobile app transmits the order to the POS — real-time API call at pickup time, pre-sent message, or POS polling? This affects integration test design.
3. Are price changes applied in real-time or via scheduled batch jobs, and what is the batch cadence? This affects timing-based test case design.
4. Is there an existing price snapshot or order versioning mechanism in the order management system, or is this assumed but unimplemented?
5. What is the expected behavior when item price decreases — should the customer receive the lower price as a benefit, or is the lock strictly bidirectional?
6. Does the system support partial price locks (e.g., some items locked, some re-priced at fulfillment) or is it all-or-nothing per order?
7. Are there any regulatory or jurisdiction-specific requirements around price lock disclosure to customers that should be validated?
8. What test environments are available that support both advance order scheduling and controlled pricing engine updates without affecting production data?
9. Is there logging or an audit trail for price-at-order-time vs price-at-fulfillment that can be used to verify behavior without relying solely on UI/receipt output?
10. What is the definition of 'fulfillment' for this feature — when the order is sent to POS, when it is accepted by POS, or when it is marked complete by staff?
Effort estimate: 30–50 test cases
Effort notes: Lower bound assumes happy-path and primary negative scenarios with a single price change event. Upper bound accounts for combinatorial edge cases (multiple items, multiple price changes, timing variations, integration failure modes, and exploratory branches). Effort is elevated due to the need for environment setup that supports controlled price changes and advance order scheduling. Recommend time-boxing exploratory sessions to 2–3 hours each with structured charters.</x:v>
      </x:c>
      <x:c r="E13" s="21" t="str">
        <x:v>Scorable</x:v>
      </x:c>
      <x:c r="F13" s="28" t="n">
        <x:v>5</x:v>
      </x:c>
      <x:c r="G13" s="28" t="n">
        <x:v>5</x:v>
      </x:c>
      <x:c r="H13" s="28" t="n">
        <x:v>5</x:v>
      </x:c>
      <x:c r="I13" s="28" t="n">
        <x:v>5</x:v>
      </x:c>
      <x:c r="J13" s="28" t="n">
        <x:v>3</x:v>
      </x:c>
      <x:c r="K13" s="28" t="n">
        <x:f>IF(E13&lt;&gt;"Scorable","",IF(COUNT(F13:J13)=5,SUM(F13:J13),""))</x:f>
        <x:v>23</x:v>
      </x:c>
      <x:c r="L13"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13" s="21" t="str">
        <x:f>IF(E13&lt;&gt;"Scorable","Not scorable",IF(COUNT(F13:J13)&lt;&gt;5,"Missing scores",IF(AND(COUNTIFS(F13:J13,1)+COUNTIFS(F13:J13,2)+COUNTIFS(F13:J13,5)&gt;0,L13=""),"Missing rationale","Complete")))</x:f>
        <x:v>Complete</x:v>
      </x:c>
    </x:row>
    <x:row r="14" ht="180" customHeight="1">
      <x:c r="A14" s="21" t="str">
        <x:v>RATE-BD63AA4EA9B3</x:v>
      </x:c>
      <x:c r="B14" s="21" t="str">
        <x:v>SPEC-03</x:v>
      </x:c>
      <x:c r="C14"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4" s="21" t="str">
        <x:v>Coverage depth: HIGH
Depth justification: The new hardware directly impacts critical business workflows (POS, line-busting) and network infrastructure, with potential high user and business impact if issues occur.
Functional tests:
1. Verify that a management device can connect to the staff/management network using the new Wi-Fi 7 access point.
2. Verify that a brand-approved device can connect to the brand-approved device network using the new Wi-Fi 7 access point.
3. Verify that a line-busting tablet can connect to the POS/line-busting network using the new Wi-Fi 7 access point.
4. Verify that a guest device can connect to the guest network using the new Wi-Fi 7 access point.
5. Verify that devices maintain stable connectivity during typical usage scenarios (e.g., browsing, transactions, streaming).
Smoke tests:
1. Confirm that the new Wi-Fi 7 access point broadcasts all expected SSIDs.
2. Confirm that devices can connect to each network without authentication errors.
3. Confirm that basic internet connectivity is functional on all networks.
Regression tests:
1. Verify that existing Wi-Fi 6 access points still function correctly in mixed environments.
2. Verify that network performance metrics (e.g., latency, throughput) are consistent with previous benchmarks on Wi-Fi 6 models.
3. Verify that existing network security policies (e.g., encryption, authentication) are enforced on the new Wi-Fi 7 access points.
Integration tests:
1. Verify end-to-end connectivity for POS transactions over the POS/line-busting network using the new Wi-Fi 7 access point.
2. Verify end-to-end connectivity for management applications on the staff/management network using the new Wi-Fi 7 access point.
3. Verify that guest network traffic is isolated from other networks when using the new Wi-Fi 7 access point.
4. Verify that the new Wi-Fi 7 access point integrates correctly with the network monitoring and management tools.
Exploratory tests:
1. Test device roaming between Wi-Fi 7 access points and legacy Wi-Fi 6 access points.
2. Test network performance under high device density scenarios on the new Wi-Fi 7 access point.
3. Test network behavior when a device switches between primary and secondary network templates.
4. Test the impact of environmental factors (e.g., interference, physical obstructions) on the new Wi-Fi 7 access point.
5. Test failure scenarios such as power loss or network disconnection of the new Wi-Fi 7 access point.
Clarification flags:
1. Details on specific performance benchmarks for Wi-Fi 7 access points compared to Wi-Fi 6 models.
2. Confirmation of any additional network security configurations specific to the new hardware.
3. Information on compatibility requirements for brand-approved devices with Wi-Fi 7.
Effort estimate: 20–30 test cases
Effort notes: Effort includes functional, regression, and integration testing across multiple network types and devices.</x:v>
      </x:c>
      <x:c r="E14" s="21" t="str">
        <x:v>Scorable</x:v>
      </x:c>
      <x:c r="F14" s="28" t="n">
        <x:v>4</x:v>
      </x:c>
      <x:c r="G14" s="28" t="n">
        <x:v>5</x:v>
      </x:c>
      <x:c r="H14" s="28" t="n">
        <x:v>4</x:v>
      </x:c>
      <x:c r="I14" s="28" t="n">
        <x:v>4</x:v>
      </x:c>
      <x:c r="J14" s="28" t="n">
        <x:v>3</x:v>
      </x:c>
      <x:c r="K14" s="28" t="n">
        <x:f>IF(E14&lt;&gt;"Scorable","",IF(COUNT(F14:J14)=5,SUM(F14:J14),""))</x:f>
        <x:v>20</x:v>
      </x:c>
      <x:c r="L14" s="24" t="str">
        <x:v>Specificity 5: essentially all material consensus expectations are covered at this dimension; Frozen implicit consensus elements were treated as essential where applicable.</x:v>
      </x:c>
      <x:c r="M14" s="21" t="str">
        <x:f>IF(E14&lt;&gt;"Scorable","Not scorable",IF(COUNT(F14:J14)&lt;&gt;5,"Missing scores",IF(AND(COUNTIFS(F14:J14,1)+COUNTIFS(F14:J14,2)+COUNTIFS(F14:J14,5)&gt;0,L14=""),"Missing rationale","Complete")))</x:f>
        <x:v>Complete</x:v>
      </x:c>
    </x:row>
    <x:row r="15" ht="180" customHeight="1">
      <x:c r="A15" s="21" t="str">
        <x:v>RATE-65ACB1999F42</x:v>
      </x:c>
      <x:c r="B15" s="21" t="str">
        <x:v>SPEC-06</x:v>
      </x:c>
      <x:c r="C15"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5" s="21" t="str">
        <x:v>Coverage depth: HIGH
Depth justification: This enhancement changes core scheduling behavior from a one-time window to a recurring daily model, affecting all menu item availability logic. Dual platform version support (18.x and 19.x), time-sensitive testing constraints on 18.x due to non-traditional store location dependencies, and the risk of data migration issues from the old configuration model all justify high coverage depth.
Functional tests:
1. Verify that the new version correctly separates start date, end date, start time, and end time into four distinct configuration fields
2. Verify that a menu item configured with a start date, end date, start time, and end time becomes available every day within the date range at the specified time window
3. Verify that a menu item is unavailable outside the configured daily time window but within the active date range
4. Verify that a menu item is unavailable before the configured start date even if the current time falls within the daily time window
5. Verify that a menu item is unavailable after the configured end date even if the current time falls within the daily time window
6. Verify that the menu item availability window resets and re-activates correctly on each new day within the date range
7. Verify that a menu item with a single-day date range (start date equals end date) behaves as a one-time window consistent with legacy behavior
8. Verify that changing the start or end time mid-schedule updates availability behavior immediately or at the next applicable window
9. Verify that changing the end date mid-schedule correctly truncates or extends the recurrence
10. Verify that menu items outside any active scheduling window are hidden or marked unavailable on the POS UI
11. Verify that multiple menu items with overlapping and non-overlapping time windows are each handled independently and correctly
12. Verify that a time window spanning midnight (e.g., 11:00 PM to 1:00 AM) is handled correctly across the date boundary
13. Verify that the configuration UI enforces valid input (e.g., end date not before start date, end time not equal to start time)
14. Verify that saving a configuration with missing required fields (start date, end date, start time, end time) produces appropriate validation errors
15. Verify that the app correctly handles timezone differences between the POS device and the server/configuration backend
Smoke tests:
1. Verify that the Menu Item Availability extension app launches without errors on POS platform version 18.x
2. Verify that the Menu Item Availability extension app launches without errors on POS platform version 19.x
3. Verify that the four scheduling fields (start date, end date, start time, end time) are visible and editable in the configuration UI
4. Verify that saving a basic valid schedule configuration completes without error
5. Verify that a configured menu item becomes available at the scheduled start time on the current day
Regression tests:
1. Verify that menu items previously configured under the old single combined datetime range model are migrated or handled gracefully after the update
2. Verify that existing schedules created in the old version do not cause errors or unexpected behavior when the new version is installed
3. Verify that menu item availability scheduling does not interfere with other POS extension app functions (e.g., pricing, modifiers, inventory)
4. Verify that the POS transaction flow is unaffected when a menu item transitions from available to unavailable mid-session
5. Verify that reporting and logging of menu item availability events remain accurate after the enhancement
6. Verify that the app update does not reset or corrupt previously saved schedule configurations
7. Verify that POS platform version 18.x core functionality is unaffected by the extension app update
8. Verify that POS platform version 19.x core functionality is unaffected by the extension app update
9. Verify that menu item availability behaves correctly after a POS device restart within an active schedule window
Integration tests:
1. Verify that the extension app correctly reads and writes schedule configuration data to the backend/configuration service on both POS platform versions 18.x and 19.x
2. Verify that the POS system reflects real-time menu item availability changes driven by the scheduling engine without requiring manual refresh
3. Verify that the scheduling engine integrates correctly with the POS menu display layer to show or hide items at the correct times
4. Verify that the app functions correctly at non-traditional store locations on POS platform version 18.x, including any location-specific configuration or network constraints
5. Verify that schedule configuration changes made on one POS terminal propagate correctly to other terminals sharing the same configuration
6. Verify that the extension app interacts correctly with the POS authentication and permissions system (e.g., only authorized users can modify schedules)
7. Verify that the app behaves correctly when the POS device loses and regains network connectivity during an active schedule window
Exploratory tests:
1. Explore edge cases around daylight saving time transitions occurring within an active schedule date range and their effect on time window accuracy
2. Explore behavior when the POS device clock is manually adjusted or drifts significantly from server time during an active schedule
3. Explore rapid successive changes to schedule configuration to identify race conditions or UI state inconsistencies
4. Explore the user experience of the new four-field configuration UI for intuitiveness, error messaging clarity, and accessibility
5. Explore behavior when a very large number of menu items are each assigned distinct overlapping scheduling windows
6. Explore the legacy-to-new version transition experience at non-traditional store locations on POS 18.x, focusing on any location-specific anomalies
7. Explore what happens when the end time is set earlier than the start time (same-day inversion) and whether the app interprets this as a cross-midnight window or rejects it
8. Explore schedule behavior under low-resource conditions on older POS 18.x hardware at non-traditional locations
Clarification flags:
1. What is the migration strategy for existing schedules created under the old single combined datetime model — are they automatically converted, flagged for manual review, or left as-is?
2. What defines a 'non-traditional store location' and what specific constraints or dependencies does it introduce for POS 18.x testing (e.g., network topology, hardware, connectivity)?
3. What is the exact deadline or time window for completing POS 18.x testing due to the non-traditional store location dependency?
4. How is timezone handled — does the schedule use the POS device local time, a centralized server time, or a per-location configured timezone?
5. Is there a defined behavior for time windows that span midnight (e.g., 11 PM to 1 AM) — does the end date refer to the date the window starts or ends?
6. What happens to in-progress POS transactions when a menu item becomes unavailable mid-transaction due to a schedule window closing?
7. Are there user permission levels that restrict who can create or modify schedule configurations, and do these differ between platform versions?
8. Is the scheduling engine server-side, client-side on the POS device, or a hybrid — and does this differ between platform versions 18.x and 19.x?
9. What is the expected behavior if the end date is not specified — does the schedule recur indefinitely?
10. Are there any known differences in the extension app's feature set or UI between POS platform versions 18.x and 19.x that would require divergent test cases?
Effort estimate: 35–60 test cases
Effort notes: Estimate accounts for dual platform version execution (effectively doubling many test cases), time-sensitive 18.x testing at non-traditional locations which may require coordination overhead, edge cases around time/date boundary conditions, and regression coverage of the legacy configuration model. Upper bound reflects additional cases needed if timezone variability or multi-terminal propagation scenarios are fully enumerated.</x:v>
      </x:c>
      <x:c r="E15" s="21" t="str">
        <x:v>Scorable</x:v>
      </x:c>
      <x:c r="F15" s="28" t="n">
        <x:v>5</x:v>
      </x:c>
      <x:c r="G15" s="28" t="n">
        <x:v>5</x:v>
      </x:c>
      <x:c r="H15" s="28" t="n">
        <x:v>5</x:v>
      </x:c>
      <x:c r="I15" s="28" t="n">
        <x:v>5</x:v>
      </x:c>
      <x:c r="J15" s="28" t="n">
        <x:v>4</x:v>
      </x:c>
      <x:c r="K15" s="28" t="n">
        <x:f>IF(E15&lt;&gt;"Scorable","",IF(COUNT(F15:J15)=5,SUM(F15:J15),""))</x:f>
        <x:v>24</x:v>
      </x:c>
      <x:c r="L15"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15" s="21" t="str">
        <x:f>IF(E15&lt;&gt;"Scorable","Not scorable",IF(COUNT(F15:J15)&lt;&gt;5,"Missing scores",IF(AND(COUNTIFS(F15:J15,1)+COUNTIFS(F15:J15,2)+COUNTIFS(F15:J15,5)&gt;0,L15=""),"Missing rationale","Complete")))</x:f>
        <x:v>Complete</x:v>
      </x:c>
    </x:row>
    <x:row r="16" ht="180" customHeight="1">
      <x:c r="A16" s="21" t="str">
        <x:v>RATE-30E12123EDA1</x:v>
      </x:c>
      <x:c r="B16" s="21" t="str">
        <x:v>SPEC-15</x:v>
      </x:c>
      <x:c r="C16"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6" s="21" t="str">
        <x:v>Coverage depth: HIGH
Depth justification: Although this is a targeted bug fix to a display message, the root cause involves mismatched configuration files which carry a broad regression risk across multiple message types and transaction flows. The fix must be validated specifically with cloud processing disabled as specified, and any misconfiguration could silently affect other terminal messages or transaction states. The financial nature of gift card processing and the crew-facing impact of incorrect messaging elevate business and operational risk, warranting thorough coverage.
Functional tests:
1. With backend cloud processing disabled, initiate a gift card transaction on the POS terminal and cancel it mid-transaction; verify the terminal displays exactly 'CANCEL TRANSACTION' and not 'VOID NEW ITEMS AND CANCEL TRANSACTION'.
2. With backend cloud processing disabled, verify that the 'CANCEL TRANSACTION' message appears within an acceptable time after the crew member triggers the cancel action on a gift card transaction.
3. With backend cloud processing disabled, cancel a gift card transaction at different stages (e.g., after card swipe/tap, after amount entry, before final confirmation) and confirm 'CANCEL TRANSACTION' is displayed at each stage.
4. Confirm that after the 'CANCEL TRANSACTION' message is displayed, the POS terminal returns to its idle or ready state without error.
5. Verify that no residual 'VOID NEW ITEMS AND CANCEL TRANSACTION' message text appears anywhere on the terminal screen during or after a gift card cancel action with cloud processing disabled.
6. Confirm the corrected configuration files are deployed to the terminal and that no override configuration is re-applying the old incorrect message string.
7. Verify that cancelling a gift card transaction with cloud processing disabled does not leave the gift card balance in an inconsistent or partially debited state.
Smoke tests:
1. With backend cloud processing disabled, cancel a single gift card transaction and confirm the terminal displays 'CANCEL TRANSACTION'.
2. Confirm the POS terminal successfully loads and operates in a state where backend cloud processing is turned off before beginning gift card cancel testing.
3. Initiate and complete (not cancel) a gift card transaction with cloud processing disabled to confirm baseline gift card processing still functions.
Regression tests:
1. With backend cloud processing enabled, cancel a gift card transaction and verify the correct cancel message is displayed, confirming the fix does not break cloud-enabled behavior.
2. Perform a standard non-gift-card transaction cancel (e.g., cash or credit card) and verify the correct message for that transaction type still displays, confirming no cross-contamination from the configuration fix.
3. Verify that the 'VOID NEW ITEMS AND CANCEL TRANSACTION' message still appears correctly in any scenario where it is legitimately expected (e.g., voiding new items on a non-gift-card transaction), confirming the message was not globally removed.
4. Complete a full gift card transaction (no cancel) with cloud processing disabled and confirm the success/completion message is unaffected by the configuration change.
5. Complete a full gift card transaction (no cancel) with cloud processing enabled and confirm the success/completion message is unaffected.
6. Verify that other POS terminal display messages (e.g., insufficient balance, invalid card, transaction approved) are unchanged after the configuration file correction.
7. Cancel a gift card transaction multiple times in succession with cloud processing disabled and confirm consistent display of 'CANCEL TRANSACTION' each time without message drift or caching issues.
Integration tests:
1. With backend cloud processing disabled, cancel a gift card transaction and verify the cancellation event is correctly logged in any local transaction or audit log, referencing the correct cancel action type.
2. With backend cloud processing re-enabled after testing, cancel a gift card transaction and confirm the terminal-to-backend communication correctly reflects a cancel event with no message mismatch.
3. Verify that the configuration file correction is consistently applied across all POS terminal models or hardware variants in use, not just the terminal used during initial validation.
4. Confirm that the corrected configuration files do not conflict with any other active configuration or override files loaded at terminal startup or during transaction processing.
5. If a receipt is generated upon gift card transaction cancel, verify the receipt text reflects the correct cancel action and does not reference 'VOID NEW ITEMS'.
Exploratory tests:
1. Toggle backend cloud processing on and off rapidly, then cancel a gift card transaction, and observe whether the terminal displays the correct message or reverts to the incorrect one.
2. Attempt to cancel a gift card transaction when the gift card has a zero balance and observe the terminal message displayed.
3. Simulate a network interruption (separate from cloud processing toggle) during a gift card cancel and observe whether the correct 'CANCEL TRANSACTION' message still appears.
4. Check whether the incorrect 'VOID NEW ITEMS AND CANCEL TRANSACTION' message can still be triggered on the terminal through any other transaction flow or button sequence after the fix is applied.
5. Observe terminal behavior if the crew member cancels a gift card transaction immediately after card presentation (before any amount is entered) and confirm the correct message displays.
6. Review the configuration files directly to confirm the override or mismatched entry has been removed or corrected, and that no duplicate or conflicting keys exist for the cancel message string.
7. Test cancel behavior on a gift card transaction that spans a split-tender scenario (gift card plus another payment method) with cloud processing disabled, and verify the displayed message is appropriate.
Clarification flags:
1. Is 'VOID NEW ITEMS AND CANCEL TRANSACTION' a valid message for any other transaction type or scenario on this terminal? If so, those scenarios must be explicitly protected in regression testing.
2. What is the exact mechanism for disabling backend cloud processing — is it a terminal setting, a network configuration, or a backend toggle — and does this state need to be verified before each test run?
3. Are there multiple POS terminal models or firmware versions in scope, and does the configuration fix need to be validated independently on each?
4. What is the deployment mechanism for the corrected configuration files (e.g., pushed remotely, loaded at startup, manually applied), and could a re-deployment revert the fix?
5. Is there a specific configuration file name or key/value pair that was changed, so testers can directly inspect and verify the fix at the file level?
6. Does the cancel action trigger any backend event, receipt, or audit log entry that also needs to reflect the corrected cancel type?
7. Are there any other terminal messages that share the same configuration key or template as the incorrect message, which could also be affected by the fix?
8. What POS software version will be used during validation, and is this fix isolated to a specific version or applied broadly?
Effort estimate: 20–35 test cases
Effort notes: The lower bound covers the core functional, smoke, and critical regression scenarios. The upper bound accounts for testing across multiple terminal hardware variants, additional gift card transaction stages, and exploratory edge cases. Effort scales significantly if multiple POS terminal models or software versions require independent validation.</x:v>
      </x:c>
      <x:c r="E16" s="21" t="str">
        <x:v>Scorable</x:v>
      </x:c>
      <x:c r="F16" s="28" t="n">
        <x:v>5</x:v>
      </x:c>
      <x:c r="G16" s="28" t="n">
        <x:v>5</x:v>
      </x:c>
      <x:c r="H16" s="28" t="n">
        <x:v>3</x:v>
      </x:c>
      <x:c r="I16" s="28" t="n">
        <x:v>5</x:v>
      </x:c>
      <x:c r="J16" s="28" t="n">
        <x:v>5</x:v>
      </x:c>
      <x:c r="K16" s="28" t="n">
        <x:f>IF(E16&lt;&gt;"Scorable","",IF(COUNT(F16:J16)=5,SUM(F16:J16),""))</x:f>
        <x:v>23</x:v>
      </x:c>
      <x:c r="L16"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Clarification 5: material consensus ambiguities are directly and actionably addressed; Frozen implicit consensus elements were treated as essential where applicable.</x:v>
      </x:c>
      <x:c r="M16" s="21" t="str">
        <x:f>IF(E16&lt;&gt;"Scorable","Not scorable",IF(COUNT(F16:J16)&lt;&gt;5,"Missing scores",IF(AND(COUNTIFS(F16:J16,1)+COUNTIFS(F16:J16,2)+COUNTIFS(F16:J16,5)&gt;0,L16=""),"Missing rationale","Complete")))</x:f>
        <x:v>Complete</x:v>
      </x:c>
    </x:row>
    <x:row r="17" ht="180" customHeight="1">
      <x:c r="A17" s="21" t="str">
        <x:v>RATE-793A5786FF09</x:v>
      </x:c>
      <x:c r="B17" s="21" t="str">
        <x:v>SPEC-15</x:v>
      </x:c>
      <x:c r="C17"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7" s="21" t="str">
        <x:v>Coverage depth: MEDIUM
Depth justification: The bug fix impacts a specific but critical user-facing message in the POS terminal, and the change involves configuration files which could have broader implications if not properly validated.
Functional tests:
1. Verify that the POS terminal displays 'CANCEL TRANSACTION' when a gift card transaction is canceled with backend cloud processing disabled.
2. Validate that the incorrect message 'VOID NEW ITEMS AND CANCEL TRANSACTION' no longer appears when a gift card transaction is canceled.
Smoke tests:
1. Perform a basic gift card transaction cancellation with backend cloud processing disabled and confirm the terminal displays the correct message.
2. Ensure the POS terminal operates without errors during a gift card transaction cancellation.
Regression tests:
1. Verify that gift card transactions can still be completed successfully with backend cloud processing enabled.
2. Confirm that other POS terminal messages for non-gift card transactions remain unaffected.
3. Validate that the POS terminal correctly handles other cancellation scenarios (e.g., item cancellation).
Integration tests:
1. Test the interaction between the POS terminal and the configuration files to ensure the correct message is displayed during a gift card transaction cancellation.
2. Validate that disabling backend cloud processing does not impact other terminal functionalities.
Exploratory tests:
1. Test the behavior when backend cloud processing is toggled on and off multiple times during gift card transactions.
2. Simulate a scenario where the configuration files are partially corrupted or missing and observe the terminal's behavior during a gift card transaction cancellation.
3. Test the timing of the message display when a cancellation is performed rapidly after initiating a gift card transaction.
Clarification flags:
1. Are there specific POS terminal models or software versions that need to be tested?
2. What is the exact method for disabling backend cloud processing for testing purposes?
3. Are there any other configuration file changes expected as part of this fix?
Effort estimate: 8–12 test cases
Effort notes: The scope includes functional validation, regression checks, and some exploratory testing to ensure robustness. A small QA team should be able to cover this within a reasonable timeframe.</x:v>
      </x:c>
      <x:c r="E17" s="21" t="str">
        <x:v>Scorable</x:v>
      </x:c>
      <x:c r="F17" s="28" t="n">
        <x:v>5</x:v>
      </x:c>
      <x:c r="G17" s="28" t="n">
        <x:v>5</x:v>
      </x:c>
      <x:c r="H17" s="28" t="n">
        <x:v>4</x:v>
      </x:c>
      <x:c r="I17" s="28" t="n">
        <x:v>4</x:v>
      </x:c>
      <x:c r="J17" s="28" t="n">
        <x:v>4</x:v>
      </x:c>
      <x:c r="K17" s="28" t="n">
        <x:f>IF(E17&lt;&gt;"Scorable","",IF(COUNT(F17:J17)=5,SUM(F17:J17),""))</x:f>
        <x:v>22</x:v>
      </x:c>
      <x:c r="L17" s="24" t="str">
        <x:v>Completeness 5: essentially all material consensus expectations are covered at this dimension; Specificity 5: essentially all material consensus expectations are covered at this dimension; Frozen implicit consensus elements were treated as essential where applicable.</x:v>
      </x:c>
      <x:c r="M17" s="21" t="str">
        <x:f>IF(E17&lt;&gt;"Scorable","Not scorable",IF(COUNT(F17:J17)&lt;&gt;5,"Missing scores",IF(AND(COUNTIFS(F17:J17,1)+COUNTIFS(F17:J17,2)+COUNTIFS(F17:J17,5)&gt;0,L17=""),"Missing rationale","Complete")))</x:f>
        <x:v>Complete</x:v>
      </x:c>
    </x:row>
    <x:row r="18" ht="180" customHeight="1">
      <x:c r="A18" s="21" t="str">
        <x:v>RATE-BFB63611D5BC</x:v>
      </x:c>
      <x:c r="B18" s="21" t="str">
        <x:v>SPEC-14</x:v>
      </x:c>
      <x:c r="C18"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8" s="21" t="str">
        <x:v>Coverage depth: MEDIUM
Depth justification: The primary focus is on validating compatibility with iOS 18.5 as it is the production standard, while ensuring basic functionality on iOS 26.1 for future readiness.
Functional tests:
1. Validate core app functionality on Gen 10 tablets running iOS 18.5.
2. Validate core app functionality on Gen 11 tablets running iOS 18.5.
3. Validate core app functionality on Gen 10 tablets running iOS 26.1.
4. Validate core app functionality on Gen 11 tablets running iOS 26.1.
5. Test user login, order placement, and payment processing workflows across all device and OS combinations.
6. Verify app navigation and UI responsiveness on both hardware generations and OS versions.
Smoke tests:
1. Confirm app launches successfully on Gen 10 and Gen 11 tablets with iOS 18.5.
2. Confirm app launches successfully on Gen 10 and Gen 11 tablets with iOS 26.1.
3. Verify basic order placement and checkout functionality on iOS 18.5.
Regression tests:
1. Validate that all previously supported features work as expected on Gen 10 and Gen 11 tablets running iOS 18.5.
2. Validate that no critical functionality is broken on Gen 10 and Gen 11 tablets running iOS 26.1.
3. Test edge cases such as network interruptions during order placement on all device and OS combinations.
Integration tests:
1. Verify app integration with backend order processing systems on iOS 18.5 and iOS 26.1.
2. Test compatibility with third-party payment gateways on all device and OS combinations.
3. Ensure proper synchronization of order data between the app and backend systems.
Exploratory tests:
1. Investigate any unexpected behavior or UI inconsistencies on iOS 26.1.
2. Explore app performance under high load conditions on Gen 10 and Gen 11 tablets.
3. Test app behavior with varying network conditions (e.g., low bandwidth, intermittent connectivity).
Clarification flags:
1. Pending vendor release notes to identify specific changes or new features in the app version.
2. Confirmation of any known issues or limitations with iOS 26.1 compatibility.
3. Details on backend system changes, if any, that could impact integration testing.
Effort estimate: 25–40 test cases
Effort notes: Effort includes testing across two hardware generations and two OS versions, with priority given to iOS 18.5.</x:v>
      </x:c>
      <x:c r="E18" s="21" t="str">
        <x:v>Scorable</x:v>
      </x:c>
      <x:c r="F18" s="28" t="n">
        <x:v>3</x:v>
      </x:c>
      <x:c r="G18" s="28" t="n">
        <x:v>3</x:v>
      </x:c>
      <x:c r="H18" s="28" t="n">
        <x:v>3</x:v>
      </x:c>
      <x:c r="I18" s="28" t="n">
        <x:v>3</x:v>
      </x:c>
      <x:c r="J18" s="28" t="n">
        <x:v>2</x:v>
      </x:c>
      <x:c r="K18" s="28" t="n">
        <x:f>IF(E18&lt;&gt;"Scorable","",IF(COUNT(F18:J18)=5,SUM(F18:J18),""))</x:f>
        <x:v>14</x:v>
      </x:c>
      <x:c r="L18" s="24" t="str">
        <x:v>Clarification 2: a critical or multiple important consensus expectations remain weak or missing; Frozen implicit consensus elements were treated as essential where applicable.</x:v>
      </x:c>
      <x:c r="M18" s="21" t="str">
        <x:f>IF(E18&lt;&gt;"Scorable","Not scorable",IF(COUNT(F18:J18)&lt;&gt;5,"Missing scores",IF(AND(COUNTIFS(F18:J18,1)+COUNTIFS(F18:J18,2)+COUNTIFS(F18:J18,5)&gt;0,L18=""),"Missing rationale","Complete")))</x:f>
        <x:v>Complete</x:v>
      </x:c>
    </x:row>
    <x:row r="19" ht="180" customHeight="1">
      <x:c r="A19" s="21" t="str">
        <x:v>RATE-9C11AB21E019</x:v>
      </x:c>
      <x:c r="B19" s="21" t="str">
        <x:v>SPEC-03</x:v>
      </x:c>
      <x:c r="C19"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9" s="21" t="str">
        <x:v>Coverage depth: HIGH
Depth justification: This is a production infrastructure hardware replacement directly impacting POS/payment processing, line-busting operations, and store connectivity across multiple network types. Any failure could cause transaction outages or loss of store connectivity, warranting thorough coverage across all network segments and integration points.
Functional tests:
1. Verify Wi-Fi 7 AP broadcasts SSID correctly for staff/management network and a management device can associate successfully
2. Verify Wi-Fi 7 AP broadcasts SSID correctly for brand-approved device network and an approved device can associate successfully
3. Verify Wi-Fi 7 AP broadcasts SSID correctly for POS/line-busting network and a line-busting tablet can associate successfully
4. Verify Wi-Fi 7 AP broadcasts SSID correctly for guest network and a guest device can associate successfully
5. Confirm correct VLAN assignment for each network type (staff, brand-approved, POS/line-busting, guest) on the new AP hardware
6. Verify management device on staff/management network can reach all expected internal resources (file shares, management portals, intranet)
7. Verify brand-approved device obtains correct IP addressing and can reach permitted network resources
8. Verify line-busting tablet on POS network can successfully communicate with POS backend/payment processing systems
9. Verify guest network provides internet access and is isolated from internal store networks
10. Confirm DHCP lease is successfully obtained on each network type from the new AP
11. Verify security settings (WPA3 or applicable encryption standard) are correctly applied per network type on the new AP
12. Confirm AP management interface is accessible and reflects correct firmware and configuration post-deployment
13. Verify seamless roaming/handoff between new Wi-Fi 7 AP and adjacent APs (if multiple APs in environment) for each network type
14. Verify line-busting tablet can complete an end-to-end POS transaction (card read, authorization, receipt) over the new AP
15. Confirm band steering and multi-link operation (MLO) features of Wi-Fi 7 do not disrupt device connectivity for legacy clients
Smoke tests:
1. Confirm new Wi-Fi 7 AP powers on and all SSIDs are visible/broadcasting for all four network types
2. Verify a management device can connect to the staff/management SSID and reach a known internal resource
3. Verify a line-busting tablet can connect to the POS/line-busting SSID and reach the POS system
4. Verify a guest device can connect to the guest SSID and reach the internet
5. Confirm AP is reachable via its management interface and shows expected configuration
Regression tests:
1. Re-verify all four network SSIDs continue to function correctly after AP configuration changes or firmware updates
2. Confirm existing approved devices that previously connected to Wi-Fi 6 APs can connect to the new Wi-Fi 7 AP without re-provisioning
3. Verify POS transaction flow on line-busting tablet remains uninterrupted after AP replacement
4. Confirm guest network isolation from internal VLANs is maintained as per pre-existing security policy
5. Verify network templates (primary and secondary) applied to the new AP produce the same network behavior as on the previous Wi-Fi 6 hardware
6. Confirm management device access controls and permissions are unchanged after hardware swap
7. Verify DHCP, DNS, and default gateway settings remain consistent across all network types post-replacement
8. Confirm any scheduled AP reboots or maintenance windows do not cause extended outages beyond expected thresholds
Integration tests:
1. Verify end-to-end POS communication: line-busting tablet → Wi-Fi 7 AP → store network → POS server/payment gateway
2. Verify staff/management network integration with Active Directory or identity provider for authenticated access
3. Confirm network controller/management platform (e.g., cloud dashboard or on-prem controller) correctly discovers, registers, and manages the new Wi-Fi 7 AP
4. Verify RADIUS or 802.1X authentication (if applicable) functions correctly for staff and POS network types on the new hardware
5. Confirm inter-AP roaming integration: devices roaming from a Wi-Fi 6 AP to the new Wi-Fi 7 AP maintain session continuity
6. Verify network monitoring and alerting systems receive correct telemetry and health data from the new AP model
7. Confirm brand-approved device network integrates correctly with any device allowlist or MAC filtering systems in use
8. Verify guest network captive portal (if applicable) functions correctly on the new AP hardware
Exploratory tests:
1. Explore behavior of legacy Wi-Fi 5/6 client devices connecting to the new Wi-Fi 7 AP under varying signal conditions to identify compatibility edge cases
2. Investigate AP behavior under high client density to assess whether Wi-Fi 7 multi-link operation causes unexpected issues for POS or line-busting tablets
3. Explore edge cases around SSID visibility and association when the AP is operating on both primary and secondary network templates simultaneously
4. Test line-busting tablet behavior during active POS transactions if the AP reboots or loses uplink connectivity briefly
5. Explore guest network isolation robustness by attempting lateral access to internal VLANs from a guest device
6. Investigate AP failover or fallback behavior if the network controller becomes unreachable
7. Explore any unexpected channel or frequency conflicts introduced by Wi-Fi 7 6GHz band operation in the store RF environment
8. Test behavior when maximum concurrent client connections are approached on the new AP across all SSIDs
Clarification flags:
1. Authentication method per SSID is not specified (PSK, 802.1X/RADIUS, open) — this affects security and integration test design
2. Whether a captive portal is used on the guest network is not confirmed — captive portal testing may be required
3. Number of store locations and APs per location is not stated — needed to estimate full rollout test effort and determine if per-site testing is required
4. Phased vs. simultaneous rollout strategy is not defined — affects regression and smoke test scheduling
5. Specific Wi-Fi 7 features to be enabled (MLO, 6GHz band, 320MHz channels) are not listed — needed to scope backward-compatibility and RF interference tests
6. Network controller or management platform in use (e.g., Cisco, Aruba, Meraki, Juniper Mist) is not identified — affects integration test scope
7. Whether existing Wi-Fi 6 APs will coexist with new Wi-Fi 7 APs during transition or be fully replaced immediately is unclear — impacts roaming and regression testing
8. Specific POS system and payment gateway vendor/version is not provided — needed to confirm integration test environment setup
9. MAC allowlist or device provisioning requirements for brand-approved device network are not detailed — may affect test device selection
10. Lab environment test results from primary and secondary network templates are not shared — reviewing these could reduce duplication of effort in production testing
Effort estimate: 35–60 test cases
Effort notes: Estimate scales with number of store locations receiving the rollout, number of AP units per store, and whether phased or simultaneous deployment is used. POS and line-busting network tests should be prioritized and executed first. Regression suite should be re-executed at each new deployment wave.</x:v>
      </x:c>
      <x:c r="E19" s="21" t="str">
        <x:v>Scorable</x:v>
      </x:c>
      <x:c r="F19" s="28" t="n">
        <x:v>5</x:v>
      </x:c>
      <x:c r="G19" s="28" t="n">
        <x:v>5</x:v>
      </x:c>
      <x:c r="H19" s="28" t="n">
        <x:v>5</x:v>
      </x:c>
      <x:c r="I19" s="28" t="n">
        <x:v>4</x:v>
      </x:c>
      <x:c r="J19" s="28" t="n">
        <x:v>5</x:v>
      </x:c>
      <x:c r="K19" s="28" t="n">
        <x:f>IF(E19&lt;&gt;"Scorable","",IF(COUNT(F19:J19)=5,SUM(F19:J19),""))</x:f>
        <x:v>24</x:v>
      </x:c>
      <x:c r="L19" s="24" t="str">
        <x:v>Completeness 5: essentially all material consensus expectations are covered at this dimension; Specificity 5: essentially all material consensus expectations are covered at this dimension; Risk 5: depth matches consensus and the justification is materially risk-specific; Clarification 5: material consensus ambiguities are directly and actionably addressed; Frozen implicit consensus elements were treated as essential where applicable.</x:v>
      </x:c>
      <x:c r="M19" s="21" t="str">
        <x:f>IF(E19&lt;&gt;"Scorable","Not scorable",IF(COUNT(F19:J19)&lt;&gt;5,"Missing scores",IF(AND(COUNTIFS(F19:J19,1)+COUNTIFS(F19:J19,2)+COUNTIFS(F19:J19,5)&gt;0,L19=""),"Missing rationale","Complete")))</x:f>
        <x:v>Complete</x:v>
      </x:c>
    </x:row>
    <x:row r="20" ht="180" customHeight="1">
      <x:c r="A20" s="21" t="str">
        <x:v>RATE-87D411FF0F02</x:v>
      </x:c>
      <x:c r="B20" s="21" t="str">
        <x:v>SPEC-15</x:v>
      </x:c>
      <x:c r="C20"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20" s="21" t="str">
        <x:v>Coverage depth: MEDIUM
Depth justification: This is a targeted bug fix for a UI messaging mismatch caused by a configuration file issue. The direct change scope is narrow, but the risk of adjacent message strings being affected by the config correction, the need to validate across cloud-on and cloud-off states, and the potential for the fix to have been applied inconsistently across terminal types justifies medium coverage depth rather than low.
Functional tests:
1. With cloud processing disabled, cancel a gift card transaction mid-flow and verify the terminal displays exactly 'CANCEL TRANSACTION' and not 'VOID NEW ITEMS AND CANCEL TRANSACTION'
2. With cloud processing disabled, cancel a gift card transaction at the point of card swipe/tap and confirm the correct cancellation message appears
3. With cloud processing disabled, cancel a gift card transaction after partial amount entry and verify the correct message 'CANCEL TRANSACTION' is shown on the terminal screen
4. Verify that the corrected configuration file is deployed to all applicable terminal types and that no residual override referencing 'VOID NEW ITEMS AND CANCEL TRANSACTION' remains for the gift card cancel action
5. Confirm that the 'CANCEL TRANSACTION' message clears correctly after acknowledgement and that the terminal returns to the expected idle or ready state
6. Verify the cancellation message text is correctly cased, punctuated, and formatted as per the expected display specification on the physical terminal screen
7. Test gift card transaction cancel initiated by crew member (not customer) and confirm the correct message displays on the crew-facing terminal if separate from customer-facing display
8. Test gift card transaction cancel initiated at the customer-facing terminal (if applicable) and confirm 'CANCEL TRANSACTION' is displayed correctly
Smoke tests:
1. With cloud processing disabled, initiate and complete a successful gift card transaction end-to-end to confirm the fix has not broken the standard happy path
2. With cloud processing disabled, cancel a gift card transaction and confirm the terminal recovers to a usable state without freezing or requiring a reboot
3. Confirm that a non-gift-card transaction cancel (e.g., cash or credit card) still displays its own correct cancellation message and has not been affected by the config change
4. Verify the POS terminal loads and operates normally after the configuration file correction has been applied
Regression tests:
1. Cancel a credit card transaction and verify the terminal displays the correct pre-existing cancellation message for that tender type
2. Cancel a cash transaction and verify the terminal displays the correct pre-existing cancellation message for that tender type
3. Perform a void of a completed gift card transaction (distinct from cancel) and verify the void message displayed is still correct and unchanged
4. Perform a 'VOID NEW ITEMS' action (if this is a valid distinct operation) and confirm it still displays its own correct message and has not been inadvertently suppressed by the config fix
5. Complete a full gift card redemption transaction and verify no cancellation message appears during normal flow
6. Complete a gift card balance inquiry and verify no unintended messaging changes are present
7. Reload/top-up a gift card and cancel mid-flow, verifying the correct cancel message appears
8. Verify that the message displayed during a timeout-triggered auto-cancel of a gift card transaction is correct and not affected by this change
9. Confirm that split-tender transactions involving a gift card still cancel correctly and display the appropriate message
10. Verify that the configuration file correction has not altered any other terminal message strings beyond the targeted gift card cancel message
Integration tests:
1. With cloud processing explicitly disabled, cancel a gift card transaction and confirm the terminal message behaviour is consistent — verifying the fix is not dependent on cloud connectivity to resolve correctly
2. With cloud processing re-enabled, cancel a gift card transaction and verify the correct 'CANCEL TRANSACTION' message also displays in the cloud-on state, confirming the fix is not environment-specific
3. Verify that the corrected configuration is consistently applied across all terminal models in scope and that no terminal is still pulling an uncorrected or cached config version
4. Confirm that the backend transaction log or audit trail correctly records a cancelled gift card transaction as a cancel (not a void) following the config fix
5. If a configuration management or deployment system is used, verify the corrected config file version is the active version on all targeted terminals and that rollback to the previous version restores the incorrect behaviour (confirming the fix is isolated to the config)
Exploratory tests:
1. Rapidly initiate and cancel multiple consecutive gift card transactions to check for message persistence, screen flicker, or incorrect message bleed-through from a prior transaction
2. Cancel a gift card transaction at the earliest possible point in the flow (e.g., immediately after tender type selection) and at the latest possible point before completion, checking message correctness at both extremes
3. Investigate whether any other transaction types or terminal actions inadvertently display 'CANCEL TRANSACTION' where they previously showed a different correct message, as a side-effect of the config change
4. Check if the incorrect message 'VOID NEW ITEMS AND CANCEL TRANSACTION' appears anywhere else in the gift card flow where it may still be valid or invalid, to identify any further misconfiguration
5. Test cancellation behaviour under degraded network conditions (not fully cloud-off, but intermittent) to determine if message correctness is sensitive to partial cloud connectivity
6. Examine the configuration files directly to identify whether the fix was an override removal or a value correction, and probe whether any other keys in the same config block appear misconfigured
7. Test the cancel flow on any terminal that has been recently reimaged or factory reset to confirm the corrected config is included in the baseline build
Clarification flags:
1. Which specific terminal models and hardware variants are in scope for this fix — is the config correction applied to all terminal types or a subset?
2. Is 'VOID NEW ITEMS AND CANCEL TRANSACTION' a valid message for any other action or transaction type on the same terminal, or should it be entirely absent from the gift card cancel flow? This affects whether regression testing needs to confirm it still appears elsewhere.
3. What is the exact root cause confirmed — was it a config override that was removed, or were config file values corrected? This affects how the config regression should be structured.
4. Is the customer-facing display (if separate from the crew-facing terminal) also affected by this messaging issue, and does it need to be validated independently?
5. What is the expected terminal state and message sequence after the cancel — does the terminal return to idle, show a confirmation screen, or print a receipt? This is needed to fully define the post-cancel validation steps.
6. Are there multiple environments (e.g., staging, UAT, production) where this config fix must be validated, or is testing confined to a single environment?
7. Is cloud processing being disabled at the infrastructure level, via a config toggle, or by network isolation? The method may affect reproducibility and should be standardised for testing.
8. Does the fix affect all gift card sub-types (e.g., redemption, reload, balance inquiry cancels) or only the initial purchase/redemption cancel flow?
9. Is there a configuration management or version control system that can confirm which config version is active on each terminal, to support the integration validation?
10. What is the expected behaviour when cloud processing is disabled and a gift card cancel is attempted — is the cancel always permitted locally, or can it be blocked pending cloud confirmation?
Effort estimate: 22–35 test cases
Effort notes: Lower bound assumes a single terminal model, single tender-type regression pass, and a single environment (cloud-off only). Upper bound accounts for multiple terminal models, full tender-type regression, cloud-on and cloud-off validation, and exploratory sessions. Effort is manageable for a small QA team within 1–2 days if terminal access and config deployment are pre-arranged.</x:v>
      </x:c>
      <x:c r="E20" s="21" t="str">
        <x:v>Scorable</x:v>
      </x:c>
      <x:c r="F20" s="28" t="n">
        <x:v>5</x:v>
      </x:c>
      <x:c r="G20" s="28" t="n">
        <x:v>5</x:v>
      </x:c>
      <x:c r="H20" s="28" t="n">
        <x:v>5</x:v>
      </x:c>
      <x:c r="I20" s="28" t="n">
        <x:v>5</x:v>
      </x:c>
      <x:c r="J20" s="28" t="n">
        <x:v>5</x:v>
      </x:c>
      <x:c r="K20" s="28" t="n">
        <x:f>IF(E20&lt;&gt;"Scorable","",IF(COUNT(F20:J20)=5,SUM(F20:J20),""))</x:f>
        <x:v>25</x:v>
      </x:c>
      <x:c r="L20"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20" s="21" t="str">
        <x:f>IF(E20&lt;&gt;"Scorable","Not scorable",IF(COUNT(F20:J20)&lt;&gt;5,"Missing scores",IF(AND(COUNTIFS(F20:J20,1)+COUNTIFS(F20:J20,2)+COUNTIFS(F20:J20,5)&gt;0,L20=""),"Missing rationale","Complete")))</x:f>
        <x:v>Complete</x:v>
      </x:c>
    </x:row>
    <x:row r="21" ht="180" customHeight="1">
      <x:c r="A21" s="21" t="str">
        <x:v>RATE-28245565649F</x:v>
      </x:c>
      <x:c r="B21" s="21" t="str">
        <x:v>SPEC-12</x:v>
      </x:c>
      <x:c r="C21"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21" s="21" t="str">
        <x:v>Terminal invalid JSON. This observation is retained as a structural failure and receives no rubric score.</x:v>
      </x:c>
      <x:c r="E21" s="21" t="str">
        <x:v>Not scorable — terminal invalid JSON</x:v>
      </x:c>
      <x:c r="F21" s="29"/>
      <x:c r="G21" s="29"/>
      <x:c r="H21" s="29"/>
      <x:c r="I21" s="29"/>
      <x:c r="J21" s="29"/>
      <x:c r="K21" s="29" t="str">
        <x:f>IF(E21&lt;&gt;"Scorable","",IF(COUNT(F21:J21)=5,SUM(F21:J21),""))</x:f>
      </x:c>
      <x:c r="L21" s="26"/>
      <x:c r="M21" s="21" t="str">
        <x:f>IF(E21&lt;&gt;"Scorable","Not scorable",IF(COUNT(F21:J21)&lt;&gt;5,"Missing scores",IF(AND(COUNTIFS(F21:J21,1)+COUNTIFS(F21:J21,2)+COUNTIFS(F21:J21,5)&gt;0,L21=""),"Missing rationale","Complete")))</x:f>
        <x:v>Not scorable</x:v>
      </x:c>
    </x:row>
    <x:row r="22" ht="180" customHeight="1">
      <x:c r="A22" s="21" t="str">
        <x:v>RATE-EBA21D784690</x:v>
      </x:c>
      <x:c r="B22" s="21" t="str">
        <x:v>SPEC-12</x:v>
      </x:c>
      <x:c r="C22"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22" s="21" t="str">
        <x:v>Coverage depth: MEDIUM
Depth justification: The change impacts the layout of a critical financial report, which is frequently used by franchisees and accountants. While the change is limited to reordering sections, it has potential downstream effects on data presentation and integrations.
Functional tests:
1. Verify that the Third-Party Delivery Partner detailed sales data section is relocated to the bottom of the Property Financial Report, below the Rewards section.
2. Verify that the content and formatting of the Third-Party Delivery Partner detailed sales data section remain unchanged after relocation.
3. Verify that the summary-level delivery sales data in the Order Type section remains unchanged and displays correctly.
Smoke tests:
1. Verify that the Property Financial Report generates successfully without errors after the layout change.
2. Verify that all sections of the Property Financial Report are present and in the correct order.
Regression tests:
1. Verify that the Tender Media, Group Sales, Discounts, and Service Charges sections display correctly and are not impacted by the layout change.
2. Verify that the Rewards section displays correctly and is not impacted by the layout change.
3. Verify that the Order Type section displays correctly and is not impacted by the layout change.
Integration tests:
1. Verify that the data for the Third-Party Delivery Partner detailed sales section is correctly pulled from the database and displayed in the new location.
2. Verify that the report layout change does not affect the data flow or integration with external systems that consume the Property Financial Report.
Exploratory tests:
1. Test the report with various data sets, including edge cases such as no Third-Party Delivery Partner data, large data sets, and missing data.
2. Verify the report layout and data accuracy when exported to different formats (e.g., PDF, Excel).
3. Test the report layout and data accuracy across different screen resolutions and devices, if applicable.
Clarification flags:
1. Confirm whether the report layout change affects exported formats (e.g., PDF, Excel).
2. Clarify if there are any specific formatting requirements for the relocated section.
3. Confirm whether there are any dependencies on external systems consuming the report that need validation.
Effort estimate: 10–15 test cases
Effort notes: The scope is moderate due to the limited nature of the layout change but requires thorough validation of data accuracy and layout integrity.</x:v>
      </x:c>
      <x:c r="E22" s="21" t="str">
        <x:v>Scorable</x:v>
      </x:c>
      <x:c r="F22" s="28" t="n">
        <x:v>3</x:v>
      </x:c>
      <x:c r="G22" s="28" t="n">
        <x:v>3</x:v>
      </x:c>
      <x:c r="H22" s="28" t="n">
        <x:v>4</x:v>
      </x:c>
      <x:c r="I22" s="28" t="n">
        <x:v>2</x:v>
      </x:c>
      <x:c r="J22" s="28" t="n">
        <x:v>4</x:v>
      </x:c>
      <x:c r="K22" s="28" t="n">
        <x:f>IF(E22&lt;&gt;"Scorable","",IF(COUNT(F22:J22)=5,SUM(F22:J22),""))</x:f>
        <x:v>16</x:v>
      </x:c>
      <x:c r="L22" s="24" t="str">
        <x:v>Integration 2: a critical or multiple important consensus expectations remain weak or missing; Frozen implicit consensus elements were treated as essential where applicable.</x:v>
      </x:c>
      <x:c r="M22" s="21" t="str">
        <x:f>IF(E22&lt;&gt;"Scorable","Not scorable",IF(COUNT(F22:J22)&lt;&gt;5,"Missing scores",IF(AND(COUNTIFS(F22:J22,1)+COUNTIFS(F22:J22,2)+COUNTIFS(F22:J22,5)&gt;0,L22=""),"Missing rationale","Complete")))</x:f>
        <x:v>Complete</x:v>
      </x:c>
    </x:row>
    <x:row r="23" ht="180" customHeight="1">
      <x:c r="A23" s="21" t="str">
        <x:v>RATE-4043C7615CA5</x:v>
      </x:c>
      <x:c r="B23" s="21" t="str">
        <x:v>SPEC-11</x:v>
      </x:c>
      <x:c r="C23"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23" s="21" t="str">
        <x:v>Terminal invalid JSON. This observation is retained as a structural failure and receives no rubric score.</x:v>
      </x:c>
      <x:c r="E23" s="21" t="str">
        <x:v>Not scorable — terminal invalid JSON</x:v>
      </x:c>
      <x:c r="F23" s="29"/>
      <x:c r="G23" s="29"/>
      <x:c r="H23" s="29"/>
      <x:c r="I23" s="29"/>
      <x:c r="J23" s="29"/>
      <x:c r="K23" s="29" t="str">
        <x:f>IF(E23&lt;&gt;"Scorable","",IF(COUNT(F23:J23)=5,SUM(F23:J23),""))</x:f>
      </x:c>
      <x:c r="L23" s="26"/>
      <x:c r="M23" s="21" t="str">
        <x:f>IF(E23&lt;&gt;"Scorable","Not scorable",IF(COUNT(F23:J23)&lt;&gt;5,"Missing scores",IF(AND(COUNTIFS(F23:J23,1)+COUNTIFS(F23:J23,2)+COUNTIFS(F23:J23,5)&gt;0,L23=""),"Missing rationale","Complete")))</x:f>
        <x:v>Not scorable</x:v>
      </x:c>
    </x:row>
    <x:row r="24" ht="180" customHeight="1">
      <x:c r="A24" s="21" t="str">
        <x:v>RATE-26BC91DE2E28</x:v>
      </x:c>
      <x:c r="B24" s="21" t="str">
        <x:v>SPEC-17</x:v>
      </x:c>
      <x:c r="C24"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24" s="21" t="str">
        <x:v>Terminal invalid JSON. This observation is retained as a structural failure and receives no rubric score.</x:v>
      </x:c>
      <x:c r="E24" s="21" t="str">
        <x:v>Not scorable — terminal invalid JSON</x:v>
      </x:c>
      <x:c r="F24" s="29"/>
      <x:c r="G24" s="29"/>
      <x:c r="H24" s="29"/>
      <x:c r="I24" s="29"/>
      <x:c r="J24" s="29"/>
      <x:c r="K24" s="29" t="str">
        <x:f>IF(E24&lt;&gt;"Scorable","",IF(COUNT(F24:J24)=5,SUM(F24:J24),""))</x:f>
      </x:c>
      <x:c r="L24" s="26"/>
      <x:c r="M24" s="21" t="str">
        <x:f>IF(E24&lt;&gt;"Scorable","Not scorable",IF(COUNT(F24:J24)&lt;&gt;5,"Missing scores",IF(AND(COUNTIFS(F24:J24,1)+COUNTIFS(F24:J24,2)+COUNTIFS(F24:J24,5)&gt;0,L24=""),"Missing rationale","Complete")))</x:f>
        <x:v>Not scorable</x:v>
      </x:c>
    </x:row>
    <x:row r="25" ht="180" customHeight="1">
      <x:c r="A25" s="21" t="str">
        <x:v>RATE-BAC5D5328168</x:v>
      </x:c>
      <x:c r="B25" s="21" t="str">
        <x:v>SPEC-18</x:v>
      </x:c>
      <x:c r="C25"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25" s="21" t="str">
        <x:v>Coverage depth: MEDIUM
Depth justification: The feature is relatively self-contained, but its integration with existing workflows and systems requires moderate testing coverage
Functional tests:
1. Verify that notifications can be successfully scheduled and displayed on POS workstations
2. Test that notifications are triggered when a crew member clocks in
3. Validate that different types of notifications (e.g. promotional offers, loyalty program reminders, upsell prompts) can be created and displayed
4. Check that notifications can be edited and deleted by authorized users
5. Confirm that notifications are properly formatted and readable on POS workstation screens
Smoke tests:
1. Verify that the POS notification feature can be enabled and disabled without disrupting other system functionality
2. Test that a crew member can successfully clock in and view notifications on the POS workstation
Regression tests:
1. Verify that the new feature does not impact existing employee clock-in workflow functionality
2. Test that the notification feature does not interfere with other POS workstation functions (e.g. checkout, inventory management)
3. Check that the feature does not introduce any security vulnerabilities
Integration tests:
1. Test the integration of the notification feature with the employee clock-in workflow
2. Verify that notifications are properly synchronized across multiple POS workstations
3. Check that the feature integrates correctly with the notification management system
Exploratory tests:
1. Explore the user experience of the notification feature from the perspective of a crew member and a store owner/manager
2. Investigate how the feature handles edge cases (e.g. multiple notifications scheduled for the same time, notifications with special characters or formatting)
Clarification flags:
1. Notification scheduling and display rules (e.g. frequency, duration, prioritization)
2. User roles and permissions for creating, editing, and deleting notifications
3. Error handling and notification for cases like network connectivity issues or POS workstation errors
Effort estimate: 20–50 test cases
Effort notes: The estimate assumes a moderate level of complexity and integration with existing systems</x:v>
      </x:c>
      <x:c r="E25" s="21" t="str">
        <x:v>Scorable</x:v>
      </x:c>
      <x:c r="F25" s="28" t="n">
        <x:v>4</x:v>
      </x:c>
      <x:c r="G25" s="28" t="n">
        <x:v>4</x:v>
      </x:c>
      <x:c r="H25" s="28" t="n">
        <x:v>2</x:v>
      </x:c>
      <x:c r="I25" s="28" t="n">
        <x:v>5</x:v>
      </x:c>
      <x:c r="J25" s="28" t="n">
        <x:v>1</x:v>
      </x:c>
      <x:c r="K25" s="28" t="n">
        <x:f>IF(E25&lt;&gt;"Scorable","",IF(COUNT(F25:J25)=5,SUM(F25:J25),""))</x:f>
        <x:v>16</x:v>
      </x:c>
      <x:c r="L25" s="24" t="str">
        <x:v>Risk 2: a critical or multiple important consensus expectations remain weak or missing; Integration 5: essentially all material consensus expectations are covered at this dimension; Clarification 1: the recommendation is fundamentally inadequate for this dimension; Frozen implicit consensus elements were treated as essential where applicable.</x:v>
      </x:c>
      <x:c r="M25" s="21" t="str">
        <x:f>IF(E25&lt;&gt;"Scorable","Not scorable",IF(COUNT(F25:J25)&lt;&gt;5,"Missing scores",IF(AND(COUNTIFS(F25:J25,1)+COUNTIFS(F25:J25,2)+COUNTIFS(F25:J25,5)&gt;0,L25=""),"Missing rationale","Complete")))</x:f>
        <x:v>Complete</x:v>
      </x:c>
    </x:row>
    <x:row r="26" ht="180" customHeight="1">
      <x:c r="A26" s="21" t="str">
        <x:v>RATE-1666BA65A45B</x:v>
      </x:c>
      <x:c r="B26" s="21" t="str">
        <x:v>SPEC-03</x:v>
      </x:c>
      <x:c r="C26"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26" s="21" t="str">
        <x:v>Terminal invalid JSON. This observation is retained as a structural failure and receives no rubric score.</x:v>
      </x:c>
      <x:c r="E26" s="21" t="str">
        <x:v>Not scorable — terminal invalid JSON</x:v>
      </x:c>
      <x:c r="F26" s="29"/>
      <x:c r="G26" s="29"/>
      <x:c r="H26" s="29"/>
      <x:c r="I26" s="29"/>
      <x:c r="J26" s="29"/>
      <x:c r="K26" s="29" t="str">
        <x:f>IF(E26&lt;&gt;"Scorable","",IF(COUNT(F26:J26)=5,SUM(F26:J26),""))</x:f>
      </x:c>
      <x:c r="L26" s="26"/>
      <x:c r="M26" s="21" t="str">
        <x:f>IF(E26&lt;&gt;"Scorable","Not scorable",IF(COUNT(F26:J26)&lt;&gt;5,"Missing scores",IF(AND(COUNTIFS(F26:J26,1)+COUNTIFS(F26:J26,2)+COUNTIFS(F26:J26,5)&gt;0,L26=""),"Missing rationale","Complete")))</x:f>
        <x:v>Not scorable</x:v>
      </x:c>
    </x:row>
    <x:row r="27" ht="180" customHeight="1">
      <x:c r="A27" s="21" t="str">
        <x:v>RATE-253F759F54BF</x:v>
      </x:c>
      <x:c r="B27" s="21" t="str">
        <x:v>SPEC-02</x:v>
      </x:c>
      <x:c r="C27"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27" s="21" t="str">
        <x:v>Coverage depth: MEDIUM
Depth justification: The firmware update is a targeted fix, but testing needs to cover multiple device/POS version combinations and various transaction scenarios to ensure the fix does not introduce new issues.
Functional tests:
1. Verify successful transaction completion after network cable reconnection for each device/POS version combination
2. Test transaction failure and recovery with cable unplugged and replugged during transaction for each device/POS version combination
3. Validate payment terminal reconnection after firmware update across all 6 device/POS version combinations
Smoke tests:
1. Basic payment transaction test with each device/POS version combination to ensure firmware update did not introduce new issues
2. Quick chip transaction test with network cable unplugged and replugged to verify fix
Regression tests:
1. Run existing payment processing test suite to ensure firmware update did not regress existing functionality
2. Test multiple transaction scenarios (e.g., multiple quick chip transactions, combination of quick chip and other payment types) to ensure fix does not introduce new issues
Integration tests:
1. Test integration with different POS versions (v18 and v19) to ensure compatibility
2. Verify communication between POS and payment terminal after firmware update for each device/POS version combination
Exploratory tests:
1. Test edge cases, such as repeated network cable unplugging and replugging, to ensure firmware update handles unexpected scenarios
2. Explore different transaction types (e.g., refund, void) to ensure fix does not introduce issues with other payment processing functions
Clarification flags:
1. Confirmation of the exact firmware update version and release notes
2. Details on any changes to payment terminal or POS configuration required for the firmware update
3. Information on any specific testing tools or environments required for testing
Effort estimate: 50–100 test cases
Effort notes: Estimate based on 6 device/POS version combinations and the need to test various transaction scenarios, including edge cases.</x:v>
      </x:c>
      <x:c r="E27" s="21" t="str">
        <x:v>Scorable</x:v>
      </x:c>
      <x:c r="F27" s="28" t="n">
        <x:v>3</x:v>
      </x:c>
      <x:c r="G27" s="28" t="n">
        <x:v>4</x:v>
      </x:c>
      <x:c r="H27" s="28" t="n">
        <x:v>3</x:v>
      </x:c>
      <x:c r="I27" s="28" t="n">
        <x:v>4</x:v>
      </x:c>
      <x:c r="J27" s="28" t="n">
        <x:v>3</x:v>
      </x:c>
      <x:c r="K27" s="28" t="n">
        <x:f>IF(E27&lt;&gt;"Scorable","",IF(COUNT(F27:J27)=5,SUM(F27:J27),""))</x:f>
        <x:v>17</x:v>
      </x:c>
      <x:c r="L27" s="24" t="str">
        <x:v>Frozen implicit consensus elements were treated as essential where applicable.</x:v>
      </x:c>
      <x:c r="M27" s="21" t="str">
        <x:f>IF(E27&lt;&gt;"Scorable","Not scorable",IF(COUNT(F27:J27)&lt;&gt;5,"Missing scores",IF(AND(COUNTIFS(F27:J27,1)+COUNTIFS(F27:J27,2)+COUNTIFS(F27:J27,5)&gt;0,L27=""),"Missing rationale","Complete")))</x:f>
        <x:v>Complete</x:v>
      </x:c>
    </x:row>
    <x:row r="28" ht="180" customHeight="1">
      <x:c r="A28" s="21" t="str">
        <x:v>RATE-073A3525A5D4</x:v>
      </x:c>
      <x:c r="B28" s="21" t="str">
        <x:v>SPEC-04</x:v>
      </x:c>
      <x:c r="C28"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28" s="21" t="str">
        <x:v>Coverage depth: HIGH
Depth justification: New payment tender type and impact on multiple system areas require thorough testing
Functional tests:
1. Verify the catering voucher tender key is visible and accessible on the POS
2. Test successful transaction processing using the catering voucher tender key
3. Validate that the catering voucher tender key behaves like a voucher payment
4. Confirm that existing in-store catering order type behavior is maintained
5. Verify that POS reporting is updated correctly for Property Financial, Employee Financial, and Revenue Center Financial reports
6. Test analytics reports for system sales, tender media, POS category, tax, 24h sales summary, and new tender detail
Smoke tests:
1. Basic transaction processing using the catering voucher tender key
2. Verification of POS functionality for tender behavior and processing
Regression tests:
1. Regression testing on existing POS functionality to ensure no impact from the new feature
2. Verification that existing payment tender types are unaffected by the new catering voucher tender key
Integration tests:
1. Integration testing with third-party data pipeline to ensure correct data flow to business intelligence platform
2. Verification of sales reporting to third-party systems
Exploratory tests:
1. Exploratory testing of edge cases and error scenarios for the catering voucher tender key
2. Verification of user experience and usability of the new tender key
Clarification flags:
1. Configuration workflow validation for the catering voucher tender key
2. Definition of kitchen display unit order routing and its potential impact on the new feature
3. Loyalty program transaction validation and its interaction with the catering voucher tender key
Effort estimate: 50–100 test cases
Effort notes: Estimate based on the number of system areas impacted and the complexity of the new feature</x:v>
      </x:c>
      <x:c r="E28" s="21" t="str">
        <x:v>Scorable</x:v>
      </x:c>
      <x:c r="F28" s="28" t="n">
        <x:v>3</x:v>
      </x:c>
      <x:c r="G28" s="28" t="n">
        <x:v>3</x:v>
      </x:c>
      <x:c r="H28" s="28" t="n">
        <x:v>4</x:v>
      </x:c>
      <x:c r="I28" s="28" t="n">
        <x:v>4</x:v>
      </x:c>
      <x:c r="J28" s="28" t="n">
        <x:v>2</x:v>
      </x:c>
      <x:c r="K28" s="28" t="n">
        <x:f>IF(E28&lt;&gt;"Scorable","",IF(COUNT(F28:J28)=5,SUM(F28:J28),""))</x:f>
        <x:v>16</x:v>
      </x:c>
      <x:c r="L28" s="24" t="str">
        <x:v>Clarification 2: a critical or multiple important consensus expectations remain weak or missing; Frozen implicit consensus elements were treated as essential where applicable.</x:v>
      </x:c>
      <x:c r="M28" s="21" t="str">
        <x:f>IF(E28&lt;&gt;"Scorable","Not scorable",IF(COUNT(F28:J28)&lt;&gt;5,"Missing scores",IF(AND(COUNTIFS(F28:J28,1)+COUNTIFS(F28:J28,2)+COUNTIFS(F28:J28,5)&gt;0,L28=""),"Missing rationale","Complete")))</x:f>
        <x:v>Complete</x:v>
      </x:c>
    </x:row>
    <x:row r="29" ht="180" customHeight="1">
      <x:c r="A29" s="21" t="str">
        <x:v>RATE-BC842B56E7EE</x:v>
      </x:c>
      <x:c r="B29" s="21" t="str">
        <x:v>SPEC-06</x:v>
      </x:c>
      <x:c r="C29"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29" s="21" t="str">
        <x:v>Coverage depth: MEDIUM
Depth justification: The change introduces a significant enhancement to existing functionality but does not involve a new feature or integration. The risk level is moderate due to the potential impact on menu item availability and POS operations.
Functional tests:
1. Verify that a user can configure a start date, end date, start time, and end time for a menu item availability window.
2. Validate that the app correctly applies the time window daily between the start and end dates.
3. Test that the menu item becomes available at the configured start time and unavailable at the configured end time for each day within the date range.
4. Ensure that the app prevents overlapping time windows for the same menu item.
5. Verify that invalid configurations (e.g., end date before start date, end time before start time) are rejected with appropriate error messages.
6. Test that the app handles edge cases such as configurations spanning midnight (e.g., start time 10:00 PM, end time 2:00 AM).
Smoke tests:
1. Verify that the Menu Item Availability app loads successfully in POS platform versions 18.x and 19.x.
2. Ensure that existing menu item availability configurations from the previous version are not broken or corrupted after the update.
3. Validate that the app does not crash when accessing the scheduling configuration screen.
Regression tests:
1. Test that menu items configured with the old single datetime range are still functional and behave as expected.
2. Verify that menu items with no availability configuration remain unaffected.
3. Ensure that the app's performance (e.g., responsiveness of the configuration screen) is not degraded after the enhancement.
4. Test that other unrelated POS functionalities, such as payment processing and receipt printing, are unaffected.
Integration tests:
1. Validate that the time window configuration changes are correctly reflected in the POS system's menu display during the defined availability periods.
2. Test that the POS system correctly hides menu items outside the configured availability window.
3. Ensure that the app's scheduling data is correctly synchronized with the central server or database, if applicable.
4. Verify that the app behaves consistently across different store locations, especially non-traditional stores mentioned in the specification.
Exploratory tests:
1. Test how the app handles configurations with very large date ranges (e.g., several months).
2. Probe the behavior when the system clock on the POS device is manually adjusted to fall outside or within a configured time window.
3. Test the app's behavior when the POS device loses internet connectivity during a scheduled availability period.
4. Explore how the app handles daylight saving time changes, if applicable.
5. Test the app's behavior when multiple users attempt to configure overlapping time windows simultaneously.
Clarification flags:
1. What is the expected behavior if the start date and end date are the same? Should the time window apply only for that single day?
2. Are there any specific non-traditional store locations or configurations that require additional testing?
3. Does the app need to support configurations that span multiple years (e.g., start date in December and end date in January)?
4. Is there a maximum allowed date range or time window that needs to be validated?
5. What is the expected behavior if the POS device's system clock is incorrect or manipulated?
Effort estimate: 20–30 test cases
Effort notes: Effort includes testing across two POS platform versions (18.x and 19.x) and ensuring compatibility with non-traditional store locations.</x:v>
      </x:c>
      <x:c r="E29" s="21" t="str">
        <x:v>Scorable</x:v>
      </x:c>
      <x:c r="F29" s="28" t="n">
        <x:v>4</x:v>
      </x:c>
      <x:c r="G29" s="28" t="n">
        <x:v>4</x:v>
      </x:c>
      <x:c r="H29" s="28" t="n">
        <x:v>2</x:v>
      </x:c>
      <x:c r="I29" s="28" t="n">
        <x:v>4</x:v>
      </x:c>
      <x:c r="J29" s="28" t="n">
        <x:v>4</x:v>
      </x:c>
      <x:c r="K29" s="28" t="n">
        <x:f>IF(E29&lt;&gt;"Scorable","",IF(COUNT(F29:J29)=5,SUM(F29:J29),""))</x:f>
        <x:v>18</x:v>
      </x:c>
      <x:c r="L29" s="24" t="str">
        <x:v>Risk 2: a critical or multiple important consensus expectations remain weak or missing; Frozen implicit consensus elements were treated as essential where applicable.</x:v>
      </x:c>
      <x:c r="M29" s="21" t="str">
        <x:f>IF(E29&lt;&gt;"Scorable","Not scorable",IF(COUNT(F29:J29)&lt;&gt;5,"Missing scores",IF(AND(COUNTIFS(F29:J29,1)+COUNTIFS(F29:J29,2)+COUNTIFS(F29:J29,5)&gt;0,L29=""),"Missing rationale","Complete")))</x:f>
        <x:v>Complete</x:v>
      </x:c>
    </x:row>
    <x:row r="30" ht="180" customHeight="1">
      <x:c r="A30" s="21" t="str">
        <x:v>RATE-397FA752BAA3</x:v>
      </x:c>
      <x:c r="B30" s="21" t="str">
        <x:v>SPEC-14</x:v>
      </x:c>
      <x:c r="C30"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30" s="21" t="str">
        <x:v>Terminal invalid JSON. This observation is retained as a structural failure and receives no rubric score.</x:v>
      </x:c>
      <x:c r="E30" s="21" t="str">
        <x:v>Not scorable — terminal invalid JSON</x:v>
      </x:c>
      <x:c r="F30" s="29"/>
      <x:c r="G30" s="29"/>
      <x:c r="H30" s="29"/>
      <x:c r="I30" s="29"/>
      <x:c r="J30" s="29"/>
      <x:c r="K30" s="29" t="str">
        <x:f>IF(E30&lt;&gt;"Scorable","",IF(COUNT(F30:J30)=5,SUM(F30:J30),""))</x:f>
      </x:c>
      <x:c r="L30" s="26"/>
      <x:c r="M30" s="21" t="str">
        <x:f>IF(E30&lt;&gt;"Scorable","Not scorable",IF(COUNT(F30:J30)&lt;&gt;5,"Missing scores",IF(AND(COUNTIFS(F30:J30,1)+COUNTIFS(F30:J30,2)+COUNTIFS(F30:J30,5)&gt;0,L30=""),"Missing rationale","Complete")))</x:f>
        <x:v>Not scorable</x:v>
      </x:c>
    </x:row>
    <x:row r="31" ht="180" customHeight="1">
      <x:c r="A31" s="21" t="str">
        <x:v>RATE-A33093E53F8C</x:v>
      </x:c>
      <x:c r="B31" s="21" t="str">
        <x:v>SPEC-08</x:v>
      </x:c>
      <x:c r="C31"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31" s="21" t="str">
        <x:v>Coverage depth: MEDIUM
Depth justification: Security/access control configuration change with potential impact on core POS functionality
Functional tests:
1. Test void on empty check is blocked for restricted roles (Brand A: Shift Lead standard, Shift Lead plus, Assistant Manager, Manager, Multi-Unit, Field Engineer; Brand B: Franchisee, Manager, Shift Leader) with a food item order
2. Verify void on empty check is allowed for non-restricted roles (Brand A: Crew, Crew Plus; Brand B: Crew Member, Senior Crew Member) with a food item order
3. Confirm void on empty check restriction does not affect voiding individual items for all roles
4. Validate transaction returns are not impacted by the void on empty check restriction for all roles
5. Test opening closed checks is not disrupted by the void on empty check restriction for all roles
Smoke tests:
1. Quick sanity check of POS system functionality after role-based access control change
2. Verify that all roles can still perform basic transactions (e.g., processing a sale, handling a refund) without issues
3. Check for any error messages or system crashes when attempting to void an empty check with a restricted role
Regression tests:
1. Test existing authorization workflows for voiding transactions are unchanged
2. Verify that restricted roles can still perform other tasks not related to voiding empty checks
3. Confirm that non-restricted roles can still void empty checks without requiring additional authorization
Integration tests:
1. End-to-end testing of void on empty check restriction with upstream and downstream systems (e.g., inventory management, reporting)
2. Validate that the restriction is enforced consistently across different store locations and brands
Exploratory tests:
1. Test edge cases, such as attempting to void an empty check with multiple items, or with a mix of food and beverage items
2. Explore potential workarounds or bypasses of the void on empty check restriction
3. Investigate the impact of the restriction on historical data and reporting
Clarification flags:
1. Confirmation of the exact system option bit being disabled and its current state
2. Details on how the restriction will be enforced (e.g., error message, popup warning) and what user feedback will be provided
3. Information on any potential exceptions or overrides to the void on empty check restriction
Effort estimate: 20–40 test cases
Effort notes: Assuming a small QA team with existing knowledge of the POS system and its workflows</x:v>
      </x:c>
      <x:c r="E31" s="21" t="str">
        <x:v>Scorable</x:v>
      </x:c>
      <x:c r="F31" s="28" t="n">
        <x:v>3</x:v>
      </x:c>
      <x:c r="G31" s="28" t="n">
        <x:v>3</x:v>
      </x:c>
      <x:c r="H31" s="28" t="n">
        <x:v>2</x:v>
      </x:c>
      <x:c r="I31" s="28" t="n">
        <x:v>2</x:v>
      </x:c>
      <x:c r="J31" s="28" t="n">
        <x:v>3</x:v>
      </x:c>
      <x:c r="K31" s="28" t="n">
        <x:f>IF(E31&lt;&gt;"Scorable","",IF(COUNT(F31:J31)=5,SUM(F31:J31),""))</x:f>
        <x:v>13</x:v>
      </x:c>
      <x:c r="L31" s="24" t="str">
        <x:v>Risk 2: a critical or multiple important consensus expectations remain weak or missing; Integration 2: a critical or multiple important consensus expectations remain weak or missing; Frozen implicit consensus elements were treated as essential where applicable.</x:v>
      </x:c>
      <x:c r="M31" s="21" t="str">
        <x:f>IF(E31&lt;&gt;"Scorable","Not scorable",IF(COUNT(F31:J31)&lt;&gt;5,"Missing scores",IF(AND(COUNTIFS(F31:J31,1)+COUNTIFS(F31:J31,2)+COUNTIFS(F31:J31,5)&gt;0,L31=""),"Missing rationale","Complete")))</x:f>
        <x:v>Complete</x:v>
      </x:c>
    </x:row>
    <x:row r="32" ht="180" customHeight="1">
      <x:c r="A32" s="21" t="str">
        <x:v>RATE-F1AF747E7A44</x:v>
      </x:c>
      <x:c r="B32" s="21" t="str">
        <x:v>SPEC-09</x:v>
      </x:c>
      <x:c r="C32"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32" s="21" t="str">
        <x:v>Coverage depth: LOW
Depth justification: This is a configuration change with limited functional impact, primarily affecting a single percentage value for one delivery platform.
Functional tests:
1. Verify that the delivery markup percentage for the specified third-party delivery platform is updated to 26% in the reporting and analytics configuration tool.
2. Validate that the updated markup percentage is correctly applied to new transactions after the effective date.
3. Confirm whether the markup change applies retroactively to transactions prior to the effective date and validate the system's behavior accordingly.
Smoke tests:
1. Ensure that the reporting and analytics configuration tool is accessible and functional after the configuration change.
2. Verify that other delivery platforms' markup percentages remain unaffected.
3. Check that the reporting and analytics dashboards load without errors.
Regression tests:
1. Validate that the reporting and analytics configuration tool correctly displays and applies existing markup percentages for other delivery platforms.
2. Ensure that historical transaction data for all delivery platforms is still accurate and unaffected by the change.
3. Verify that the data pipeline processes transactions correctly without introducing errors or delays.
Integration tests:
1. Validate that the updated markup percentage (26%) is correctly reflected in the data sent to the third-party reporting platform, if applicable.
2. Ensure that the data pipeline correctly integrates the updated markup percentage into downstream systems, including reporting and analytics dashboards.
3. Confirm that the third-party delivery platform receives accurate transaction data with the updated markup percentage, if applicable.
Exploratory tests:
1. Test edge cases where transactions span the effective date to confirm correct application of the markup percentage.
2. Probe for any discrepancies in the reporting and analytics dashboards for transactions processed during the configuration change window.
3. Investigate whether the system handles invalid or missing markup percentage values gracefully in the configuration tool.
Clarification flags:
1. Confirm whether the markup change applies retroactively to prior transactions or only prospectively.
2. Clarify if the third-party reporting platform requires a corresponding change on their side and whether QA is responsible for validating it.
3. Specify the effective date for the markup change to ensure accurate test planning.
4. Confirm whether there are any specific data sets or transactions that must be used for validation in UAT, Pre-Production, and Production environments.
Effort estimate: 10–15 test cases
Effort notes: Effort is focused on verifying the configuration change, ensuring no side effects, and validating integration points.</x:v>
      </x:c>
      <x:c r="E32" s="21" t="str">
        <x:v>Scorable</x:v>
      </x:c>
      <x:c r="F32" s="28" t="n">
        <x:v>5</x:v>
      </x:c>
      <x:c r="G32" s="28" t="n">
        <x:v>4</x:v>
      </x:c>
      <x:c r="H32" s="28" t="n">
        <x:v>1</x:v>
      </x:c>
      <x:c r="I32" s="28" t="n">
        <x:v>5</x:v>
      </x:c>
      <x:c r="J32" s="28" t="n">
        <x:v>5</x:v>
      </x:c>
      <x:c r="K32" s="28" t="n">
        <x:f>IF(E32&lt;&gt;"Scorable","",IF(COUNT(F32:J32)=5,SUM(F32:J32),""))</x:f>
        <x:v>20</x:v>
      </x:c>
      <x:c r="L32" s="24" t="str">
        <x:v>Completeness 5: essentially all material consensus expectations are covered at this dimension; Risk 1: the recommendation is fundamentally inadequate for this dimension; Integration 5: essentially all material consensus expectations are covered at this dimension; Clarification 5: material consensus ambiguities are directly and actionably addressed; Frozen implicit consensus elements were treated as essential where applicable.</x:v>
      </x:c>
      <x:c r="M32" s="21" t="str">
        <x:f>IF(E32&lt;&gt;"Scorable","Not scorable",IF(COUNT(F32:J32)&lt;&gt;5,"Missing scores",IF(AND(COUNTIFS(F32:J32,1)+COUNTIFS(F32:J32,2)+COUNTIFS(F32:J32,5)&gt;0,L32=""),"Missing rationale","Complete")))</x:f>
        <x:v>Complete</x:v>
      </x:c>
    </x:row>
    <x:row r="33" ht="180" customHeight="1">
      <x:c r="A33" s="21" t="str">
        <x:v>RATE-064A5F7B7DB4</x:v>
      </x:c>
      <x:c r="B33" s="21" t="str">
        <x:v>SPEC-17</x:v>
      </x:c>
      <x:c r="C33"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33" s="21" t="str">
        <x:v>Coverage depth: MEDIUM
Depth justification: The change involves a security/infrastructure update with potential impact on system stability and security posture, but it is a targeted and relatively contained change
Functional tests:
1. Verify the remote management script successfully deploys and configures Windows Defender antivirus exclusions for the remote tunneling tool on POS terminals
2. Confirm POS terminals function normally after script execution, including successful login, transaction processing, and reporting
3. Validate the remote tunneling tool is no longer flagged as a potential security threat by Windows Defender after exclusion is applied
4. Test remote support sessions can be established and maintained without interruption after script deployment
Smoke tests:
1. Check for any unexpected system crashes or errors on POS terminals after script execution
2. Verify other security software and features on POS terminals remain unaffected by the antivirus exclusion
3. Confirm network connectivity and communication between POS terminals and remote management tools are stable
Regression tests:
1. Test existing antivirus functionality on POS terminals to ensure it still detects and responds to known threats
2. Validate the script does not introduce vulnerabilities or weaken the overall security posture of POS terminals
3. Verify compliance with existing security policies and regulations after the exclusion is applied
Integration tests:
1. End-to-end testing of remote management tool functionality with the antivirus exclusion in place, including file transfers, command execution, and session management
2. Validate integration with other store systems, such as inventory management and customer relationship management, to ensure no disruption
Exploratory tests:
1. Investigate potential for misuse of the antivirus exclusion by attempting to execute malicious files or commands through the remote tunneling tool
2. Test the script's behavior with different versions of the remote tunneling tool and Windows Defender
3. Explore the impact of the exclusion on POS terminal performance, including resource utilization and responsiveness
Clarification flags:
1. Specific details about the remote tunneling tool version and Windows Defender configuration
2. Information about the current security policies and compliance requirements for POS terminals
3. List of store locations and lab environments where the script will be tested
4. Expected behavior and handling for cases where the script fails to deploy or configure the antivirus exclusion correctly
Effort estimate: 20–40 test cases
Effort notes: Estimate assumes testing across multiple lab environments and includes both positive and negative testing scenarios</x:v>
      </x:c>
      <x:c r="E33" s="21" t="str">
        <x:v>Scorable</x:v>
      </x:c>
      <x:c r="F33" s="28" t="n">
        <x:v>3</x:v>
      </x:c>
      <x:c r="G33" s="28" t="n">
        <x:v>4</x:v>
      </x:c>
      <x:c r="H33" s="28" t="n">
        <x:v>2</x:v>
      </x:c>
      <x:c r="I33" s="28" t="n">
        <x:v>3</x:v>
      </x:c>
      <x:c r="J33" s="28" t="n">
        <x:v>4</x:v>
      </x:c>
      <x:c r="K33" s="28" t="n">
        <x:f>IF(E33&lt;&gt;"Scorable","",IF(COUNT(F33:J33)=5,SUM(F33:J33),""))</x:f>
        <x:v>16</x:v>
      </x:c>
      <x:c r="L33" s="24" t="str">
        <x:v>Risk 2: a critical or multiple important consensus expectations remain weak or missing; Frozen implicit consensus elements were treated as essential where applicable.</x:v>
      </x:c>
      <x:c r="M33" s="21" t="str">
        <x:f>IF(E33&lt;&gt;"Scorable","Not scorable",IF(COUNT(F33:J33)&lt;&gt;5,"Missing scores",IF(AND(COUNTIFS(F33:J33,1)+COUNTIFS(F33:J33,2)+COUNTIFS(F33:J33,5)&gt;0,L33=""),"Missing rationale","Complete")))</x:f>
        <x:v>Complete</x:v>
      </x:c>
    </x:row>
    <x:row r="34" ht="180" customHeight="1">
      <x:c r="A34" s="21" t="str">
        <x:v>RATE-5BB8D2DC9783</x:v>
      </x:c>
      <x:c r="B34" s="21" t="str">
        <x:v>SPEC-10</x:v>
      </x:c>
      <x:c r="C34"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34" s="21" t="str">
        <x:v>Coverage depth: MEDIUM
Depth justification: The feature impacts a critical integration but is limited to one brand and involves a straightforward certificate update process.
Functional tests:
1. Verify that the new SSL certificates are correctly imported into the POS terminals and tablets.
2. Validate that the POS platform correctly references the new certificates based on content management page settings.
3. Ensure that the certificates are correctly installed and functional in the UAT environment.
Smoke tests:
1. Confirm that POS terminals and tablets can establish secure connections to the loyalty platform using the new certificates.
2. Verify basic functionality of the loyalty platform integration after certificate renewal.
Regression tests:
1. Test all existing loyalty platform integration workflows to ensure no disruptions occur due to the certificate update.
2. Validate that other unrelated POS terminal and tablet functionalities are unaffected by the certificate renewal process.
Integration tests:
1. Verify end-to-end connectivity between POS terminals, tablets, and the loyalty platform using the new certificates.
2. Test the interaction between the content management system and the POS platform to ensure the correct certificates are referenced.
Exploratory tests:
1. Test edge cases such as expired certificates or incorrect certificate configurations on the POS terminals and tablets.
2. Simulate network interruptions during certificate import to observe system behavior.
Clarification flags:
1. Are there any fallback mechanisms in place if the new certificates fail?
2. What is the exact timeline for the external vendor to complete their certificate installation?
3. Are there any specific monitoring or logging requirements for the certificate renewal process?
Effort estimate: 10–20 test cases
Effort notes: The scope is focused on ensuring secure connectivity and verifying integration workflows. Additional exploratory tests may increase the upper limit.</x:v>
      </x:c>
      <x:c r="E34" s="21" t="str">
        <x:v>Scorable</x:v>
      </x:c>
      <x:c r="F34" s="28" t="n">
        <x:v>3</x:v>
      </x:c>
      <x:c r="G34" s="28" t="n">
        <x:v>3</x:v>
      </x:c>
      <x:c r="H34" s="28" t="n">
        <x:v>2</x:v>
      </x:c>
      <x:c r="I34" s="28" t="n">
        <x:v>3</x:v>
      </x:c>
      <x:c r="J34" s="28" t="n">
        <x:v>2</x:v>
      </x:c>
      <x:c r="K34" s="28" t="n">
        <x:f>IF(E34&lt;&gt;"Scorable","",IF(COUNT(F34:J34)=5,SUM(F34:J34),""))</x:f>
        <x:v>13</x:v>
      </x:c>
      <x:c r="L34"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34" s="21" t="str">
        <x:f>IF(E34&lt;&gt;"Scorable","Not scorable",IF(COUNT(F34:J34)&lt;&gt;5,"Missing scores",IF(AND(COUNTIFS(F34:J34,1)+COUNTIFS(F34:J34,2)+COUNTIFS(F34:J34,5)&gt;0,L34=""),"Missing rationale","Complete")))</x:f>
        <x:v>Complete</x:v>
      </x:c>
    </x:row>
    <x:row r="35" ht="180" customHeight="1">
      <x:c r="A35" s="21" t="str">
        <x:v>RATE-BF7C2EF44A66</x:v>
      </x:c>
      <x:c r="B35" s="21" t="str">
        <x:v>SPEC-13</x:v>
      </x:c>
      <x:c r="C35"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35" s="21" t="str">
        <x:v>Coverage depth: MEDIUM
Depth justification: The change is a configuration update with a new zone addition, which requires moderate testing to ensure correct functionality and integration
Functional tests:
1. Verify the new zone is added to the hierarchy and properties correctly
2. Confirm the new zone inherits the standard brand POS configuration
3. Validate the correct full-menu page design is pulled down for properties assigned to the new zone
4. Test that the limited-menu bakery and beverage-only page design is excluded for properties in the new zone
Smoke tests:
1. Verify the POS system is accessible and functional after the new zone addition
2. Confirm that existing zones and configurations are not affected by the new zone addition
Regression tests:
1. Test that the new zone addition does not impact existing menu and page design functionality
2. Verify that the standard brand POS configuration is applied correctly to properties in the new zone
3. Confirm that the new zone does not introduce any errors or issues with the hierarchy and zone management
Integration tests:
1. Test the integration of the new zone with existing systems and configurations
2. Verify that the new zone is correctly synchronized with other systems and data sources
Exploratory tests:
1. Explore the new zone's functionality and configuration to identify any potential issues or edge cases
2. Test the usability and user experience of the new zone and its associated page design
Clarification flags:
1. Confirmation of the exact properties and locations that will be assigned to the new zone
2. Details on the specific standard brand POS configuration and full-menu page design that will be applied to the new zone
3. Information on any potential dependencies or interactions with other systems or configurations
Effort estimate: 15–30 test cases
Effort notes: The estimate assumes a moderate level of complexity and requires testing of the new zone's functionality, integration, and regression testing</x:v>
      </x:c>
      <x:c r="E35" s="21" t="str">
        <x:v>Scorable</x:v>
      </x:c>
      <x:c r="F35" s="28" t="n">
        <x:v>3</x:v>
      </x:c>
      <x:c r="G35" s="28" t="n">
        <x:v>4</x:v>
      </x:c>
      <x:c r="H35" s="28" t="n">
        <x:v>2</x:v>
      </x:c>
      <x:c r="I35" s="28" t="n">
        <x:v>3</x:v>
      </x:c>
      <x:c r="J35" s="28" t="n">
        <x:v>3</x:v>
      </x:c>
      <x:c r="K35" s="28" t="n">
        <x:f>IF(E35&lt;&gt;"Scorable","",IF(COUNT(F35:J35)=5,SUM(F35:J35),""))</x:f>
        <x:v>15</x:v>
      </x:c>
      <x:c r="L35" s="24" t="str">
        <x:v>Risk 2: a critical or multiple important consensus expectations remain weak or missing; Frozen implicit consensus elements were treated as essential where applicable.</x:v>
      </x:c>
      <x:c r="M35" s="21" t="str">
        <x:f>IF(E35&lt;&gt;"Scorable","Not scorable",IF(COUNT(F35:J35)&lt;&gt;5,"Missing scores",IF(AND(COUNTIFS(F35:J35,1)+COUNTIFS(F35:J35,2)+COUNTIFS(F35:J35,5)&gt;0,L35=""),"Missing rationale","Complete")))</x:f>
        <x:v>Complete</x:v>
      </x:c>
    </x:row>
    <x:row r="36" ht="180" customHeight="1">
      <x:c r="A36" s="21" t="str">
        <x:v>RATE-5D26FBD18F6C</x:v>
      </x:c>
      <x:c r="B36" s="21" t="str">
        <x:v>SPEC-01</x:v>
      </x:c>
      <x:c r="C36"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36" s="21" t="str">
        <x:v>Terminal invalid JSON. This observation is retained as a structural failure and receives no rubric score.</x:v>
      </x:c>
      <x:c r="E36" s="21" t="str">
        <x:v>Not scorable — terminal invalid JSON</x:v>
      </x:c>
      <x:c r="F36" s="29"/>
      <x:c r="G36" s="29"/>
      <x:c r="H36" s="29"/>
      <x:c r="I36" s="29"/>
      <x:c r="J36" s="29"/>
      <x:c r="K36" s="29" t="str">
        <x:f>IF(E36&lt;&gt;"Scorable","",IF(COUNT(F36:J36)=5,SUM(F36:J36),""))</x:f>
      </x:c>
      <x:c r="L36" s="26"/>
      <x:c r="M36" s="21" t="str">
        <x:f>IF(E36&lt;&gt;"Scorable","Not scorable",IF(COUNT(F36:J36)&lt;&gt;5,"Missing scores",IF(AND(COUNTIFS(F36:J36,1)+COUNTIFS(F36:J36,2)+COUNTIFS(F36:J36,5)&gt;0,L36=""),"Missing rationale","Complete")))</x:f>
        <x:v>Not scorable</x:v>
      </x:c>
    </x:row>
    <x:row r="37" ht="180" customHeight="1">
      <x:c r="A37" s="21" t="str">
        <x:v>RATE-17E1390C1AEF</x:v>
      </x:c>
      <x:c r="B37" s="21" t="str">
        <x:v>SPEC-19</x:v>
      </x:c>
      <x:c r="C37"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37" s="21" t="str">
        <x:v>Terminal invalid JSON. This observation is retained as a structural failure and receives no rubric score.</x:v>
      </x:c>
      <x:c r="E37" s="21" t="str">
        <x:v>Not scorable — terminal invalid JSON</x:v>
      </x:c>
      <x:c r="F37" s="29"/>
      <x:c r="G37" s="29"/>
      <x:c r="H37" s="29"/>
      <x:c r="I37" s="29"/>
      <x:c r="J37" s="29"/>
      <x:c r="K37" s="29" t="str">
        <x:f>IF(E37&lt;&gt;"Scorable","",IF(COUNT(F37:J37)=5,SUM(F37:J37),""))</x:f>
      </x:c>
      <x:c r="L37" s="26"/>
      <x:c r="M37" s="21" t="str">
        <x:f>IF(E37&lt;&gt;"Scorable","Not scorable",IF(COUNT(F37:J37)&lt;&gt;5,"Missing scores",IF(AND(COUNTIFS(F37:J37,1)+COUNTIFS(F37:J37,2)+COUNTIFS(F37:J37,5)&gt;0,L37=""),"Missing rationale","Complete")))</x:f>
        <x:v>Not scorable</x:v>
      </x:c>
    </x:row>
    <x:row r="38" ht="180" customHeight="1">
      <x:c r="A38" s="21" t="str">
        <x:v>RATE-BB1861F345ED</x:v>
      </x:c>
      <x:c r="B38" s="21" t="str">
        <x:v>SPEC-17</x:v>
      </x:c>
      <x:c r="C38"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38" s="21" t="str">
        <x:v>Coverage depth: HIGH
Depth justification: The feature impacts security, remote management functionality, and POS terminal operations, which are critical for business continuity and support.
Functional tests:
1. Verify that the script successfully adds the specified antivirus exclusions on a POS terminal.
2. Verify that the remote tunneling tool is no longer flagged as a security threat by Windows Defender after the script execution.
3. Verify that the script logs its execution steps and any errors encountered.
4. Verify that the script can be executed multiple times without causing duplicate exclusions or errors.
Smoke tests:
1. Verify that the POS terminal boots and operates normally after the script execution.
2. Verify that the remote tunneling tool can establish a connection after the script execution.
Regression tests:
1. Verify that other antivirus exclusions previously configured on the POS terminal remain unaffected.
2. Verify that the POS terminal's core workflows, such as payment processing and receipt printing, continue to function normally after the script execution.
3. Verify that the remote management tool continues to function as expected across various POS terminal models.
Integration tests:
1. Verify that the script works correctly with different versions of Windows Defender on the POS terminals.
2. Verify that the script does not interfere with other remote management tools or antivirus configurations in the environment.
3. Verify that the script works correctly when deployed via the remote management tool across multiple POS terminals.
Exploratory tests:
1. Test the script on a POS terminal with a non-default antivirus configuration to identify any unexpected behavior.
2. Test the script on a POS terminal with limited disk space to observe its behavior under resource constraints.
3. Test the script on a POS terminal with a different regional configuration or language settings.
4. Test the script on a POS terminal that is actively running a remote support session to check for timing issues.
Clarification flags:
1. Details on the specific antivirus exclusions being added by the script.
2. List of supported POS terminal models and their configurations.
3. Confirmation of the Windows Defender versions in use across the POS terminals.
4. Expected behavior if the script encounters an error during execution.
Effort estimate: 12–20 test cases
Effort notes: The estimate includes functional, regression, and integration tests across multiple environments and configurations.</x:v>
      </x:c>
      <x:c r="E38" s="21" t="str">
        <x:v>Scorable</x:v>
      </x:c>
      <x:c r="F38" s="28" t="n">
        <x:v>4</x:v>
      </x:c>
      <x:c r="G38" s="28" t="n">
        <x:v>4</x:v>
      </x:c>
      <x:c r="H38" s="28" t="n">
        <x:v>4</x:v>
      </x:c>
      <x:c r="I38" s="28" t="n">
        <x:v>5</x:v>
      </x:c>
      <x:c r="J38" s="28" t="n">
        <x:v>4</x:v>
      </x:c>
      <x:c r="K38" s="28" t="n">
        <x:f>IF(E38&lt;&gt;"Scorable","",IF(COUNT(F38:J38)=5,SUM(F38:J38),""))</x:f>
        <x:v>21</x:v>
      </x:c>
      <x:c r="L38" s="24" t="str">
        <x:v>Integration 5: essentially all material consensus expectations are covered at this dimension; Frozen implicit consensus elements were treated as essential where applicable.</x:v>
      </x:c>
      <x:c r="M38" s="21" t="str">
        <x:f>IF(E38&lt;&gt;"Scorable","Not scorable",IF(COUNT(F38:J38)&lt;&gt;5,"Missing scores",IF(AND(COUNTIFS(F38:J38,1)+COUNTIFS(F38:J38,2)+COUNTIFS(F38:J38,5)&gt;0,L38=""),"Missing rationale","Complete")))</x:f>
        <x:v>Complete</x:v>
      </x:c>
    </x:row>
    <x:row r="39" ht="180" customHeight="1">
      <x:c r="A39" s="21" t="str">
        <x:v>RATE-A4B220DE88DB</x:v>
      </x:c>
      <x:c r="B39" s="21" t="str">
        <x:v>SPEC-02</x:v>
      </x:c>
      <x:c r="C39"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39" s="21" t="str">
        <x:v>Terminal invalid JSON. This observation is retained as a structural failure and receives no rubric score.</x:v>
      </x:c>
      <x:c r="E39" s="21" t="str">
        <x:v>Not scorable — terminal invalid JSON</x:v>
      </x:c>
      <x:c r="F39" s="29"/>
      <x:c r="G39" s="29"/>
      <x:c r="H39" s="29"/>
      <x:c r="I39" s="29"/>
      <x:c r="J39" s="29"/>
      <x:c r="K39" s="29" t="str">
        <x:f>IF(E39&lt;&gt;"Scorable","",IF(COUNT(F39:J39)=5,SUM(F39:J39),""))</x:f>
      </x:c>
      <x:c r="L39" s="26"/>
      <x:c r="M39" s="21" t="str">
        <x:f>IF(E39&lt;&gt;"Scorable","Not scorable",IF(COUNT(F39:J39)&lt;&gt;5,"Missing scores",IF(AND(COUNTIFS(F39:J39,1)+COUNTIFS(F39:J39,2)+COUNTIFS(F39:J39,5)&gt;0,L39=""),"Missing rationale","Complete")))</x:f>
        <x:v>Not scorable</x:v>
      </x:c>
    </x:row>
    <x:row r="40" ht="180" customHeight="1">
      <x:c r="A40" s="21" t="str">
        <x:v>RATE-B59A2A40428C</x:v>
      </x:c>
      <x:c r="B40" s="21" t="str">
        <x:v>SPEC-18</x:v>
      </x:c>
      <x:c r="C40"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40" s="21" t="str">
        <x:v>Terminal invalid JSON. This observation is retained as a structural failure and receives no rubric score.</x:v>
      </x:c>
      <x:c r="E40" s="21" t="str">
        <x:v>Not scorable — terminal invalid JSON</x:v>
      </x:c>
      <x:c r="F40" s="29"/>
      <x:c r="G40" s="29"/>
      <x:c r="H40" s="29"/>
      <x:c r="I40" s="29"/>
      <x:c r="J40" s="29"/>
      <x:c r="K40" s="29" t="str">
        <x:f>IF(E40&lt;&gt;"Scorable","",IF(COUNT(F40:J40)=5,SUM(F40:J40),""))</x:f>
      </x:c>
      <x:c r="L40" s="26"/>
      <x:c r="M40" s="21" t="str">
        <x:f>IF(E40&lt;&gt;"Scorable","Not scorable",IF(COUNT(F40:J40)&lt;&gt;5,"Missing scores",IF(AND(COUNTIFS(F40:J40,1)+COUNTIFS(F40:J40,2)+COUNTIFS(F40:J40,5)&gt;0,L40=""),"Missing rationale","Complete")))</x:f>
        <x:v>Not scorable</x:v>
      </x:c>
    </x:row>
    <x:row r="41" ht="180" customHeight="1">
      <x:c r="A41" s="21" t="str">
        <x:v>RATE-712A14DBEE1F</x:v>
      </x:c>
      <x:c r="B41" s="21" t="str">
        <x:v>SPEC-05</x:v>
      </x:c>
      <x:c r="C41"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41" s="21" t="str">
        <x:v>Terminal invalid JSON. This observation is retained as a structural failure and receives no rubric score.</x:v>
      </x:c>
      <x:c r="E41" s="21" t="str">
        <x:v>Not scorable — terminal invalid JSON</x:v>
      </x:c>
      <x:c r="F41" s="29"/>
      <x:c r="G41" s="29"/>
      <x:c r="H41" s="29"/>
      <x:c r="I41" s="29"/>
      <x:c r="J41" s="29"/>
      <x:c r="K41" s="29" t="str">
        <x:f>IF(E41&lt;&gt;"Scorable","",IF(COUNT(F41:J41)=5,SUM(F41:J41),""))</x:f>
      </x:c>
      <x:c r="L41" s="26"/>
      <x:c r="M41" s="21" t="str">
        <x:f>IF(E41&lt;&gt;"Scorable","Not scorable",IF(COUNT(F41:J41)&lt;&gt;5,"Missing scores",IF(AND(COUNTIFS(F41:J41,1)+COUNTIFS(F41:J41,2)+COUNTIFS(F41:J41,5)&gt;0,L41=""),"Missing rationale","Complete")))</x:f>
        <x:v>Not scorable</x:v>
      </x:c>
    </x:row>
    <x:row r="42" ht="180" customHeight="1">
      <x:c r="A42" s="21" t="str">
        <x:v>RATE-B344453FBCC9</x:v>
      </x:c>
      <x:c r="B42" s="21" t="str">
        <x:v>SPEC-19</x:v>
      </x:c>
      <x:c r="C42"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42" s="21" t="str">
        <x:v>Coverage depth: HIGH
Depth justification: The DNS provider change impacts all network-dependent functions, which are critical to business operations. The regression surface is broad, and the potential for cascading failures is significant.
Functional tests:
1. Verify DNS resolution works correctly for payment device connectivity.
2. Verify DNS resolution for Wi-Fi network connectivity and ensure no interruptions.
3. Verify remote management tools can connect and operate as expected.
4. Verify kitchen display system correctly routes orders.
5. Verify orders are stored and picked correctly in the system.
6. Verify digital menu boards display correct pricing and updates.
7. Verify delivery platform integrations function correctly, including order placement and status updates.
8. Verify online ordering platform processes orders successfully.
9. Verify gift card and loyalty processing works in offline mode.
10. Verify database reload and refresh operations complete without errors.
11. Verify reporting and analytics data is accurate and up-to-date.
12. Verify employee creation workflows complete successfully.
13. Verify sales performance notification tools send accurate notifications.
14. Verify third-party order alert integrations function correctly.
Smoke tests:
1. Confirm basic DNS resolution functionality with the new secondary DNS provider.
2. Verify payment device connectivity for a single transaction.
3. Verify a single online order processes successfully.
4. Verify a single delivery platform order processes successfully.
5. Verify a single loyalty transaction processes successfully.
6. Verify a single report generates without errors.
Regression tests:
1. Test all payment processing workflows for errors or delays.
2. Test all delivery platform integrations for functionality and performance.
3. Test all online ordering workflows for errors or delays.
4. Test all loyalty and gift card processing workflows, including offline mode.
5. Test all reporting and analytics workflows for data accuracy.
6. Test employee management workflows for errors or delays.
7. Test kitchen display system order routing under load conditions.
8. Test digital menu board updates and price changes under load conditions.
9. Test database reload and refresh operations under load conditions.
Integration tests:
1. Verify end-to-end order flow from online ordering platform through to kitchen display system.
2. Verify end-to-end order flow from delivery platform through to order completion.
3. Verify end-to-end loyalty transaction flow, including offline mode.
4. Verify end-to-end reporting data flow from transaction to report generation.
5. Verify end-to-end employee creation workflow and associated system updates.
Exploratory tests:
1. Test system behavior during DNS failover from primary to secondary DNS.
2. Test system behavior during DNS resolution delays or timeouts.
3. Test system behavior when DNS queries return unexpected results.
4. Test system behavior under high network load with the new secondary DNS.
5. Test system behavior when switching back to the primary DNS after a failover.
6. Test system behavior for edge cases in loyalty processing during offline mode.
7. Test system behavior for edge cases in delivery platform integrations under high order volume.
Clarification flags:
1. Details on the failover testing plan for the new secondary DNS provider.
2. Confirmation of any specific DNS configurations or customizations for the new provider.
3. Information on monitoring tools or logs available to verify DNS resolution during testing.
4. Details on rollback procedures in case of DNS-related failures.
Effort estimate: 50–80 test cases
Effort notes: The high number of test cases is due to the broad impact of the change across multiple critical system areas and integrations.</x:v>
      </x:c>
      <x:c r="E42" s="21" t="str">
        <x:v>Scorable</x:v>
      </x:c>
      <x:c r="F42" s="28" t="n">
        <x:v>3</x:v>
      </x:c>
      <x:c r="G42" s="28" t="n">
        <x:v>3</x:v>
      </x:c>
      <x:c r="H42" s="28" t="n">
        <x:v>5</x:v>
      </x:c>
      <x:c r="I42" s="28" t="n">
        <x:v>2</x:v>
      </x:c>
      <x:c r="J42" s="28" t="n">
        <x:v>2</x:v>
      </x:c>
      <x:c r="K42" s="28" t="n">
        <x:f>IF(E42&lt;&gt;"Scorable","",IF(COUNT(F42:J42)=5,SUM(F42:J42),""))</x:f>
        <x:v>15</x:v>
      </x:c>
      <x:c r="L42" s="24" t="str">
        <x:v>Risk 5: depth matches consensus and the justification is materially risk-specific; Integration 2: a critical or multiple important consensus expectations remain weak or missing; Clarification 2: a critical or multiple important consensus expectations remain weak or missing; Frozen implicit consensus elements were treated as essential where applicable.</x:v>
      </x:c>
      <x:c r="M42" s="21" t="str">
        <x:f>IF(E42&lt;&gt;"Scorable","Not scorable",IF(COUNT(F42:J42)&lt;&gt;5,"Missing scores",IF(AND(COUNTIFS(F42:J42,1)+COUNTIFS(F42:J42,2)+COUNTIFS(F42:J42,5)&gt;0,L42=""),"Missing rationale","Complete")))</x:f>
        <x:v>Complete</x:v>
      </x:c>
    </x:row>
    <x:row r="43" ht="180" customHeight="1">
      <x:c r="A43" s="21" t="str">
        <x:v>RATE-787537CD7FD1</x:v>
      </x:c>
      <x:c r="B43" s="21" t="str">
        <x:v>SPEC-01</x:v>
      </x:c>
      <x:c r="C43"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43" s="21" t="str">
        <x:v>Coverage depth: HIGH
Depth justification: This bug directly impacts customer-facing ordering capability and revenue. Customers currently receive errors at checkout rather than seeing correct item availability, creating a poor user experience and potential lost sales. The fix spans a multi-system integration (POS, integration layer, web portal, mobile app), increasing the risk surface and requiring thorough validation across all touchpoints.
Functional tests:
1. Mark a menu item as Out of Stock on the POS and verify the status is reflected immediately on the POS UI
2. Mark a menu item as Out of Stock on the POS and verify the item is no longer orderable on the web ordering portal after the next sync cycle
3. Mark a menu item as Out of Stock on the POS and verify the item is no longer orderable on the mobile ordering app after the next sync cycle
4. Verify that an Out of Stock item on the web portal displays a clear 'Out of Stock' indicator rather than appearing as available
5. Verify that an Out of Stock item on the mobile app displays a clear 'Out of Stock' indicator rather than appearing as available
6. Attempt to add an Out of Stock item to the cart on the web portal and verify the item cannot be added (not merely blocked at checkout)
7. Attempt to add an Out of Stock item to the cart on the mobile app and verify the item cannot be added
8. Remove the Out of Stock flag from a menu item on the POS and verify the item becomes available again on the POS immediately
9. Remove the Out of Stock flag from a menu item on the POS and verify the item becomes orderable again on the web portal after the next sync cycle
10. Remove the Out of Stock flag from a menu item on the POS and verify the item becomes orderable again on the mobile app after the next sync cycle
11. Verify that multiple items marked Out of Stock simultaneously on the POS all propagate correctly to the online portal
12. Verify that items NOT marked Out of Stock remain unaffected and orderable during and after a sync cycle
13. Verify the sync completes successfully after an overnight cycle and all Out of Stock statuses are accurately reflected
Smoke tests:
1. Mark a single menu item as Out of Stock on the POS and confirm the status change is saved successfully
2. Trigger or wait for a menu sync and confirm the Out of Stock item is no longer displayed as available on the web ordering portal
3. Confirm that a customer cannot add an Out of Stock item to the cart on the web portal
4. Remove the Out of Stock flag and confirm the item reappears as orderable on the web portal after sync
Regression tests:
1. Verify that previously working menu sync for price changes still functions correctly after the integration patch
2. Verify that menu item additions and removals still sync correctly to the online portal
3. Verify that item descriptions, images, and modifiers still sync correctly and are not affected by the patch
4. Verify that the checkout flow for in-stock items completes without errors after the patch
5. Verify that POS order processing for in-stock items is unaffected by the patch
6. Verify that the sync interval/schedule has not been altered by the patch and still runs at the configured frequency
7. Verify that category-level availability changes still propagate correctly to the online portal
8. Confirm no duplicate menu items appear on the online portal following the patch
9. Verify that previously resolved sync-related bugs have not regressed
Integration tests:
1. Verify the POS system correctly publishes the Out of Stock status change event to the integration layer (API/message queue) upon save
2. Verify the integration layer correctly receives and processes the Out of Stock status payload from the POS
3. Verify the online ordering platform correctly consumes the Out of Stock status update from the integration layer and updates item availability
4. Verify the mobile ordering app backend correctly receives and reflects the Out of Stock status from the integration layer
5. Verify end-to-end data integrity: the item ID, status flag, and timestamp are accurately passed from POS through integration layer to the online portal
6. Verify the sync mechanism handles network interruptions gracefully and retries propagation of Out of Stock status
7. Verify that the integration layer does not drop or delay Out of Stock status updates when processing high volumes of menu changes simultaneously
8. Verify that re-enabling an item (removing Out of Stock flag) propagates correctly end-to-end through the integration layer to both web and mobile platforms
9. Verify authentication and authorization between POS and integration layer are not broken by the patch
10. Verify the integration layer logs sync events and errors correctly for observability and debugging
Exploratory tests:
1. Explore behavior when the Out of Stock flag is toggled rapidly on and off on the POS to check for race conditions or stale state in the sync
2. Explore what happens when a customer has an Out of Stock item already in their cart before the sync propagates the status change
3. Explore the experience on the web portal and mobile app when the sync is in progress to check for inconsistent intermediate states
4. Explore behavior when the POS loses connectivity during an Out of Stock update to determine if the status change is queued and eventually delivered
5. Explore whether Out of Stock status is correctly scoped per location if the system supports multi-location deployments
6. Explore the error messaging shown to customers who attempt to order an Out of Stock item to assess clarity and UX quality
7. Explore edge cases where an item is marked Out of Stock and then a new order for that item is placed via a third-party integration or API directly
8. Explore sync behavior after a POS system restart or update to verify Out of Stock statuses are not reset or lost
Clarification flags:
1. What is the configured sync interval, and can it be shortened or manually triggered in a test environment to avoid overnight waits?
2. Is the integration layer event-driven (e.g., webhook or message queue) or polling-based? This affects how quickly status changes should propagate and how to test timing.
3. Does the system support multiple locations, and is Out of Stock status global or per-location?
4. What is the expected maximum propagation time from POS save to online portal update — is there a defined SLA beyond 'after sync interval'?
5. Are there third-party aggregators or delivery platforms (e.g., DoorDash, Uber Eats) that also consume the menu sync and need to be included in scope?
6. What is the root cause of the bug (e.g., missing field in sync payload, incorrect status mapping, sync job failure)? This would help focus regression risk assessment.
7. Is the mobile app native (iOS/Android) or a web wrapper, and does it use the same backend API as the web portal?
8. What happens to active orders or carts containing an item that becomes Out of Stock mid-session — is there defined behavior for this scenario?
9. Are there any known dependencies on third-party menu management tools or middleware that could affect sync behavior?
Effort estimate: 30–50 test cases
Effort notes: Estimate assumes access to both web and mobile ordering platforms, a configurable or triggerable sync mechanism for testing without waiting overnight, and at least one POS test environment. If sync interval cannot be shortened for testing, effort and elapsed time will increase significantly. Multi-location support, if applicable, would push toward the higher end of the range.</x:v>
      </x:c>
      <x:c r="E43" s="21" t="str">
        <x:v>Scorable</x:v>
      </x:c>
      <x:c r="F43" s="28" t="n">
        <x:v>5</x:v>
      </x:c>
      <x:c r="G43" s="28" t="n">
        <x:v>5</x:v>
      </x:c>
      <x:c r="H43" s="28" t="n">
        <x:v>5</x:v>
      </x:c>
      <x:c r="I43" s="28" t="n">
        <x:v>4</x:v>
      </x:c>
      <x:c r="J43" s="28" t="n">
        <x:v>4</x:v>
      </x:c>
      <x:c r="K43" s="28" t="n">
        <x:f>IF(E43&lt;&gt;"Scorable","",IF(COUNT(F43:J43)=5,SUM(F43:J43),""))</x:f>
        <x:v>23</x:v>
      </x:c>
      <x:c r="L43" s="24" t="str">
        <x:v>Completeness 5: essentially all material consensus expectations are covered at this dimension; Specificity 5: essentially all material consensus expectations are covered at this dimension; Risk 5: depth matches consensus and the justification is materially risk-specific; Frozen implicit consensus elements were treated as essential where applicable.</x:v>
      </x:c>
      <x:c r="M43" s="21" t="str">
        <x:f>IF(E43&lt;&gt;"Scorable","Not scorable",IF(COUNT(F43:J43)&lt;&gt;5,"Missing scores",IF(AND(COUNTIFS(F43:J43,1)+COUNTIFS(F43:J43,2)+COUNTIFS(F43:J43,5)&gt;0,L43=""),"Missing rationale","Complete")))</x:f>
        <x:v>Complete</x:v>
      </x:c>
    </x:row>
    <x:row r="44" ht="180" customHeight="1">
      <x:c r="A44" s="21" t="str">
        <x:v>RATE-F0F36A040502</x:v>
      </x:c>
      <x:c r="B44" s="21" t="str">
        <x:v>SPEC-04</x:v>
      </x:c>
      <x:c r="C44"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44" s="21" t="str">
        <x:v>Coverage depth: HIGH
Depth justification: This is a new feature affecting critical payment processing, reporting, and data integration areas, with potential downstream impacts on financial and analytics systems.
Functional tests:
1. Verify that the new catering voucher tender key is available on the POS interface.
2. Validate that transactions using the catering voucher tender key are processed correctly, including proper calculation of totals, taxes, and change (if applicable).
3. Ensure that the catering voucher tender key behaves like a voucher payment but retains in-store catering order type behavior.
4. Test the ability to void a transaction that includes the catering voucher tender key.
5. Validate that receipts correctly display the catering voucher tender as a payment method.
Smoke tests:
1. Verify that the POS system starts and operates without errors after the new tender key implementation.
2. Confirm that other tender types (e.g., cash, credit card, gift card) function as expected.
3. Ensure that basic reporting (e.g., daily sales summary) is not disrupted by the new tender key.
Regression tests:
1. Test existing POS tender types (cash, credit card, gift card) for proper functionality.
2. Validate that in-store catering order type behavior remains unchanged for other tender types.
3. Ensure that Property Financial, Employee Financial, and Revenue Center Financial reports generate correctly for non-catering voucher transactions.
4. Verify that analytics reports (system sales, tender media, POS category, tax, 24h sales summary) remain accurate for non-catering voucher transactions.
Integration tests:
1. Validate that sales data for transactions using the catering voucher tender key flows correctly to the business intelligence platform.
2. Ensure that the catering voucher tender key is reflected accurately in Property Financial, Employee Financial, and Revenue Center Financial reports.
3. Confirm that analytics reports (system sales, tender media, POS category, tax, 24h sales summary, and new tender detail) include data for the catering voucher tender key.
4. Test end-to-end data flow for transactions using the catering voucher tender key, from POS to third-party reporting systems.
Exploratory tests:
1. Test edge cases such as partial payments using the catering voucher tender key combined with other tender types.
2. Validate behavior when the catering voucher tender key is used for transactions exceeding the voucher value.
3. Probe for any rounding issues or discrepancies in tax calculations when using the catering voucher tender key.
4. Test the system's behavior when the catering voucher tender key is used in offline mode (if applicable).
5. Investigate how the catering voucher tender key interacts with discounts or promotions applied to the transaction.
Clarification flags:
1. Is there a specific format or naming convention for the catering voucher tender key in reports and data pipelines?
2. Are there any specific tax rules or exemptions that apply uniquely to catering voucher transactions?
3. What is the expected behavior if a catering voucher is partially used and the remaining balance is tendered with another payment type?
4. Should the catering voucher tender key support offline transactions, and if so, how should they be reconciled when the system is back online?
5. Are there any specific analytics or reporting KPIs that need to be validated for the new tender key beyond those listed?
Effort estimate: 25–35 test cases
Effort notes: Effort includes functional validation, regression testing across POS and reporting systems, and end-to-end integration checks.</x:v>
      </x:c>
      <x:c r="E44" s="21" t="str">
        <x:v>Scorable</x:v>
      </x:c>
      <x:c r="F44" s="28" t="n">
        <x:v>4</x:v>
      </x:c>
      <x:c r="G44" s="28" t="n">
        <x:v>4</x:v>
      </x:c>
      <x:c r="H44" s="28" t="n">
        <x:v>4</x:v>
      </x:c>
      <x:c r="I44" s="28" t="n">
        <x:v>5</x:v>
      </x:c>
      <x:c r="J44" s="28" t="n">
        <x:v>4</x:v>
      </x:c>
      <x:c r="K44" s="28" t="n">
        <x:f>IF(E44&lt;&gt;"Scorable","",IF(COUNT(F44:J44)=5,SUM(F44:J44),""))</x:f>
        <x:v>21</x:v>
      </x:c>
      <x:c r="L44" s="24" t="str">
        <x:v>Integration 5: essentially all material consensus expectations are covered at this dimension; Frozen implicit consensus elements were treated as essential where applicable.</x:v>
      </x:c>
      <x:c r="M44" s="21" t="str">
        <x:f>IF(E44&lt;&gt;"Scorable","Not scorable",IF(COUNT(F44:J44)&lt;&gt;5,"Missing scores",IF(AND(COUNTIFS(F44:J44,1)+COUNTIFS(F44:J44,2)+COUNTIFS(F44:J44,5)&gt;0,L44=""),"Missing rationale","Complete")))</x:f>
        <x:v>Complete</x:v>
      </x:c>
    </x:row>
    <x:row r="45" ht="180" customHeight="1">
      <x:c r="A45" s="21" t="str">
        <x:v>RATE-09CE4C2CECBF</x:v>
      </x:c>
      <x:c r="B45" s="21" t="str">
        <x:v>SPEC-05</x:v>
      </x:c>
      <x:c r="C45"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45" s="21" t="str">
        <x:v>Coverage depth: HIGH
Depth justification: This feature introduces a new pricing tier with a specific calculation rule (2x medium), a new default modifier threshold (6), and seasonal hero build variants, all of which interact with the pricing engine, POS, and menu configuration. Pricing errors or misconfigured tiers could directly impact revenue and customer trust, warranting high coverage depth.
Functional tests:
1. Verify extra-large size option appears on menu for iced coffee, iced latte, and refreshers (standard varieties)
2. Verify extra-large size does NOT appear for non-eligible beverage categories
3. Verify extra-large size price is exactly 2x the current medium price for each eligible beverage type
4. Verify default modifier count is set to 6 for the extra-large size tier
5. Verify no suggested retail price (SRP) is applied to the default modifier build
6. Verify all available modifications (syrups, milks, extras, etc.) remain selectable for the extra-large size
7. Verify extra-large size appears correctly in the POS ordering interface with correct label and price
8. Verify seasonal hero build variants appear for the specified items and are correctly configured
9. Verify seasonal hero build variants are scoped only to the designated items and not applied globally
10. Verify pricing engine correctly calculates extra-large price when modifiers are added or removed
11. Verify extra-large size is selectable as a standalone order item without required modifiers
12. Verify the new size tier is correctly positioned in the size tier hierarchy (e.g., after large)
13. Verify that adding modifiers beyond the default 6 triggers correct pricing behavior
14. Verify that reducing modifiers below the default 6 does not apply SRP or unexpected discounts
15. Verify menu configuration correctly saves and persists the extra-large size settings after deployment
16. Verify extra-large size displays correctly on customer-facing displays and digital menu boards
17. Verify receipt and order confirmation correctly reflect extra-large size label and price
18. Verify that the 2x medium price calculation dynamically updates if medium price changes (or confirm it is static)
19. Verify extra-large size is available for both in-store POS and any integrated ordering channels (mobile, kiosk)
Smoke tests:
1. Verify extra-large size appears on the menu for at least one eligible beverage (e.g., iced coffee)
2. Verify extra-large size can be selected and added to a POS order without errors
3. Verify extra-large price displayed equals 2x the medium price for one eligible beverage
4. Verify an order with extra-large size can be completed end-to-end through the POS
5. Verify seasonal hero build variant appears on the menu for at least one designated item
Regression tests:
1. Verify existing medium and large size pricing is unchanged after the extra-large tier introduction
2. Verify existing modifier pricing logic for medium and large sizes is unaffected
3. Verify non-eligible beverages (e.g., hot drinks, smoothies) do not show the extra-large size option
4. Verify existing SRP rules for other size tiers are not disrupted
5. Verify existing seasonal items unrelated to the new hero builds are unaffected
6. Verify POS order flow for small, medium, and large sizes continues to function correctly
7. Verify pricing engine threshold logic for existing size tiers remains intact
8. Verify existing menu configuration for iced coffee, iced latte, and refreshers is not corrupted
9. Verify loyalty/rewards points calculation for existing sizes is unaffected
10. Verify tax calculation on existing sizes is unaffected by the new tier addition
11. Verify reporting and sales data for existing sizes are not impacted by the new tier
Integration tests:
1. Verify extra-large size and pricing data flows correctly from menu configuration system to POS
2. Verify extra-large size and price appear correctly on customer-facing display systems integrated with POS
3. Verify order data for extra-large size is correctly transmitted to kitchen display or fulfillment systems
4. Verify extra-large size orders are correctly recorded in the sales reporting and analytics system
5. Verify pricing engine integration correctly applies the 2x medium price rule at checkout
6. Verify mobile ordering or kiosk platforms (if integrated) reflect the extra-large size and correct pricing
7. Verify seasonal hero build variants are correctly synced across all integrated ordering channels
8. Verify inventory or ingredient tracking systems correctly account for extra-large size consumption
9. Verify loyalty/rewards system correctly processes extra-large size purchases for points accrual
10. Verify tax calculation service correctly handles the extra-large price point
Exploratory tests:
1. Explore edge cases where medium price is $0.00 or not set and observe extra-large price behavior
2. Explore behavior when a user attempts to add more than the default 6 modifiers to an extra-large size
3. Explore behavior when all modifiers are removed from an extra-large size order
4. Explore the seasonal hero build variants for unexpected modifier restrictions or pricing anomalies
5. Explore switching between sizes mid-order to verify price updates correctly in the cart
6. Explore the menu display on various POS hardware form factors for layout or truncation issues with the new size label
7. Explore concurrent orders with extra-large size to identify any race conditions in pricing engine
8. Explore behavior if a promotion or discount is applied to an extra-large size order
9. Explore the extra-large size in combination with complex modifier stacks to identify pricing calculation errors
10. Explore whether the extra-large size is inadvertently available for ineligible beverage types through workarounds
Clarification flags:
1. The exact list of seasonal hero build variants and which specific items they apply to is not defined — this affects the scope of functional and regression tests for those builds
2. It is unclear whether the 2x medium price is calculated dynamically at runtime or set as a static value at configuration time — this affects pricing regression and update scenarios
3. The number and identity of integrated ordering channels (mobile app, kiosk, drive-through, third-party delivery) are not specified — this affects integration test scope
4. It is not defined whether the extra-large size is available for all standard refresher varieties or only a subset — this affects eligibility boundary tests
5. The behavior of the pricing engine when the medium price is not set or is $0.00 is not specified
6. It is unclear whether loyalty/rewards points accrual rules have been updated to account for the new size tier
7. No rollout or feature flag strategy is mentioned — it is unclear if the feature is a hard launch or a phased/regional rollout, which would affect environment-specific testing needs
8. Tax treatment of the new price point is not addressed in the spec
9. It is not specified whether the extra-large size will be available on all ordering channels simultaneously or staggered
Effort estimate: 45–75 test cases
Effort notes: Range accounts for the number of eligible beverage types (iced coffee, iced latte, refreshers) multiplied across size/modifier combinations, plus seasonal hero build variants whose exact count and item scope are not fully specified. Integration channel count (mobile, kiosk, etc.) will also influence the upper bound.</x:v>
      </x:c>
      <x:c r="E45" s="21" t="str">
        <x:v>Scorable</x:v>
      </x:c>
      <x:c r="F45" s="28" t="n">
        <x:v>5</x:v>
      </x:c>
      <x:c r="G45" s="28" t="n">
        <x:v>5</x:v>
      </x:c>
      <x:c r="H45" s="28" t="n">
        <x:v>5</x:v>
      </x:c>
      <x:c r="I45" s="28" t="n">
        <x:v>5</x:v>
      </x:c>
      <x:c r="J45" s="28" t="n">
        <x:v>4</x:v>
      </x:c>
      <x:c r="K45" s="28" t="n">
        <x:f>IF(E45&lt;&gt;"Scorable","",IF(COUNT(F45:J45)=5,SUM(F45:J45),""))</x:f>
        <x:v>24</x:v>
      </x:c>
      <x:c r="L45"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45" s="21" t="str">
        <x:f>IF(E45&lt;&gt;"Scorable","Not scorable",IF(COUNT(F45:J45)&lt;&gt;5,"Missing scores",IF(AND(COUNTIFS(F45:J45,1)+COUNTIFS(F45:J45,2)+COUNTIFS(F45:J45,5)&gt;0,L45=""),"Missing rationale","Complete")))</x:f>
        <x:v>Complete</x:v>
      </x:c>
    </x:row>
    <x:row r="46" ht="180" customHeight="1">
      <x:c r="A46" s="21" t="str">
        <x:v>RATE-F0E94DC6623A</x:v>
      </x:c>
      <x:c r="B46" s="21" t="str">
        <x:v>SPEC-02</x:v>
      </x:c>
      <x:c r="C46"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46" s="21" t="str">
        <x:v>Coverage depth: LOW
Depth justification: The change is a vendor-delivered patch fix targeting a specific reconnection issue, with minimal expected impact on other system areas.
Functional tests:
1. Verify that a transaction completes successfully on POS v18 with terminal model A after the network cable is reconnected.
2. Verify that a transaction completes successfully on POS v18 with terminal model B after the network cable is reconnected.
3. Verify that a transaction completes successfully on POS v18 with terminal model C after the network cable is reconnected.
4. Verify that a transaction completes successfully on POS v19 with terminal model A after the network cable is reconnected.
5. Verify that a transaction completes successfully on POS v19 with terminal model B after the network cable is reconnected.
6. Verify that a transaction completes successfully on POS v19 with terminal model C after the network cable is reconnected.
Smoke tests:
1. Verify that a basic transaction completes successfully on POS v18 with terminal model A without any network interruptions.
2. Verify that a basic transaction completes successfully on POS v19 with terminal model C without any network interruptions.
Regression tests:
1. Verify that a transaction fails gracefully with an appropriate error message when the network cable is unplugged mid-transaction.
2. Verify that the system does not allow duplicate transactions when the network cable is reconnected and a new transaction is initiated.
3. Verify that the payment terminal correctly handles chip card transactions without network interruptions on all POS-terminal combinations.
4. Verify that the payment terminal correctly handles contactless card transactions without network interruptions on all POS-terminal combinations.
Integration tests:
1. Verify end-to-end transaction processing from POS v18 with terminal model A through the payment gateway to the acquiring bank after a network reconnection.
2. Verify end-to-end transaction processing from POS v19 with terminal model C through the payment gateway to the acquiring bank after a network reconnection.
Exploratory tests:
1. Test reconnection behaviour when the network cable is unplugged and reconnected multiple times in quick succession during a transaction.
2. Test reconnection behaviour when the network cable is unplugged for an extended period (e.g., 5 minutes) and then reconnected.
3. Test reconnection behaviour when the network cable is unplugged and reconnected while multiple terminals are connected to the same POS system.
4. Test reconnection behaviour when the network cable is unplugged and reconnected during a contactless payment transaction.
Clarification flags:
1. Confirm whether the firmware update applies to all regions or if there are region-specific variations.
2. Clarify if there are any specific network configurations (e.g., static IP vs. DHCP) that need to be tested.
3. Confirm whether the firmware update requires any additional configuration or setup on the POS system or payment terminal.
Effort estimate: 12–18 test cases
Effort notes: Effort includes functional tests across 6 device/POS combinations, basic smoke tests, and a small set of regression and exploratory tests.</x:v>
      </x:c>
      <x:c r="E46" s="21" t="str">
        <x:v>Scorable</x:v>
      </x:c>
      <x:c r="F46" s="28" t="n">
        <x:v>4</x:v>
      </x:c>
      <x:c r="G46" s="28" t="n">
        <x:v>4</x:v>
      </x:c>
      <x:c r="H46" s="28" t="n">
        <x:v>1</x:v>
      </x:c>
      <x:c r="I46" s="28" t="n">
        <x:v>4</x:v>
      </x:c>
      <x:c r="J46" s="28" t="n">
        <x:v>3</x:v>
      </x:c>
      <x:c r="K46" s="28" t="n">
        <x:f>IF(E46&lt;&gt;"Scorable","",IF(COUNT(F46:J46)=5,SUM(F46:J46),""))</x:f>
        <x:v>16</x:v>
      </x:c>
      <x:c r="L46" s="24" t="str">
        <x:v>Risk 1: the recommendation is fundamentally inadequate for this dimension; Frozen implicit consensus elements were treated as essential where applicable.</x:v>
      </x:c>
      <x:c r="M46" s="21" t="str">
        <x:f>IF(E46&lt;&gt;"Scorable","Not scorable",IF(COUNT(F46:J46)&lt;&gt;5,"Missing scores",IF(AND(COUNTIFS(F46:J46,1)+COUNTIFS(F46:J46,2)+COUNTIFS(F46:J46,5)&gt;0,L46=""),"Missing rationale","Complete")))</x:f>
        <x:v>Complete</x:v>
      </x:c>
    </x:row>
    <x:row r="47" ht="180" customHeight="1">
      <x:c r="A47" s="21" t="str">
        <x:v>RATE-A8A3F1D4EB06</x:v>
      </x:c>
      <x:c r="B47" s="21" t="str">
        <x:v>SPEC-16</x:v>
      </x:c>
      <x:c r="C47"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47" s="21" t="str">
        <x:v>Terminal invalid JSON. This observation is retained as a structural failure and receives no rubric score.</x:v>
      </x:c>
      <x:c r="E47" s="21" t="str">
        <x:v>Not scorable — terminal invalid JSON</x:v>
      </x:c>
      <x:c r="F47" s="29"/>
      <x:c r="G47" s="29"/>
      <x:c r="H47" s="29"/>
      <x:c r="I47" s="29"/>
      <x:c r="J47" s="29"/>
      <x:c r="K47" s="29" t="str">
        <x:f>IF(E47&lt;&gt;"Scorable","",IF(COUNT(F47:J47)=5,SUM(F47:J47),""))</x:f>
      </x:c>
      <x:c r="L47" s="26"/>
      <x:c r="M47" s="21" t="str">
        <x:f>IF(E47&lt;&gt;"Scorable","Not scorable",IF(COUNT(F47:J47)&lt;&gt;5,"Missing scores",IF(AND(COUNTIFS(F47:J47,1)+COUNTIFS(F47:J47,2)+COUNTIFS(F47:J47,5)&gt;0,L47=""),"Missing rationale","Complete")))</x:f>
        <x:v>Not scorable</x:v>
      </x:c>
    </x:row>
    <x:row r="48" ht="180" customHeight="1">
      <x:c r="A48" s="21" t="str">
        <x:v>RATE-7442D24147D8</x:v>
      </x:c>
      <x:c r="B48" s="21" t="str">
        <x:v>SPEC-12</x:v>
      </x:c>
      <x:c r="C48"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48" s="21" t="str">
        <x:v>Coverage depth: MEDIUM
Depth justification: The change involves a layout adjustment, which is medium risk as it could impact data visibility and report usability but does not alter core functionality or calculations.
Functional tests:
1. Verify that the Third-Party Delivery Partner detailed sales data section is moved to the bottom of the Property Financial Report, below the Rewards section.
2. Ensure that the Order Type section still displays the summary-level delivery sales data correctly and remains unchanged.
3. Verify that the Tender Media, Group Sales, Discounts, and Service Charges sections are now elevated and appear immediately after the Order Type section.
4. Check that the layout of the report is visually consistent and aligns with the new section order.
Smoke tests:
1. Verify that the Property Financial Report generates successfully without errors after the layout change.
2. Ensure that all sections of the report, including the Third-Party Delivery Partner detailed sales data, are visible and correctly populated with data.
Regression tests:
1. Verify that the data in the Third-Party Delivery Partner detailed sales data section remains accurate and consistent with the source data.
2. Ensure that the summary-level delivery sales data in the Order Type section remains accurate and consistent with the source data.
3. Check that other sections of the report (e.g., Tender Media, Group Sales, Discounts, Service Charges) display accurate data and are unaffected by the layout change.
4. Validate that the report exports (e.g., PDF, Excel) continue to function correctly and reflect the new layout.
Integration tests:
1. Validate that the data flow from the third-party delivery system to the financial reporting system remains intact and correctly populates the detailed sales data section.
2. Ensure that any upstream or downstream systems consuming the Property Financial Report (e.g., accounting software or dashboards) correctly handle the new layout.
Exploratory tests:
1. Test how the report behaves when there is no data for the Third-Party Delivery Partner detailed sales section (e.g., empty or null data).
2. Check the report layout when one or more sections (e.g., Rewards, Discounts) have unusually large amounts of data to ensure no layout or truncation issues occur.
3. Verify the layout and data accuracy when the report is generated for properties with different configurations or customizations.
4. Test the report layout on different devices or screen resolutions to ensure it renders correctly.
Clarification flags:
1. Is the report layout change applicable to all property types or only specific ones?
2. Are there any specific formatting or styling requirements for the relocated Third-Party Delivery Partner detailed sales data section?
3. Should the report layout be tested for specific export formats (e.g., PDF, Excel) beyond the default view?
4. Are there any dependencies or known constraints with third-party delivery data that could affect testing?
Effort estimate: 12–18 test cases
Effort notes: Effort includes verifying layout changes, data accuracy, and integration points, as well as exploratory testing for edge cases.</x:v>
      </x:c>
      <x:c r="E48" s="21" t="str">
        <x:v>Scorable</x:v>
      </x:c>
      <x:c r="F48" s="28" t="n">
        <x:v>4</x:v>
      </x:c>
      <x:c r="G48" s="28" t="n">
        <x:v>4</x:v>
      </x:c>
      <x:c r="H48" s="28" t="n">
        <x:v>4</x:v>
      </x:c>
      <x:c r="I48" s="28" t="n">
        <x:v>2</x:v>
      </x:c>
      <x:c r="J48" s="28" t="n">
        <x:v>3</x:v>
      </x:c>
      <x:c r="K48" s="28" t="n">
        <x:f>IF(E48&lt;&gt;"Scorable","",IF(COUNT(F48:J48)=5,SUM(F48:J48),""))</x:f>
        <x:v>17</x:v>
      </x:c>
      <x:c r="L48" s="24" t="str">
        <x:v>Integration 2: a critical or multiple important consensus expectations remain weak or missing; Frozen implicit consensus elements were treated as essential where applicable.</x:v>
      </x:c>
      <x:c r="M48" s="21" t="str">
        <x:f>IF(E48&lt;&gt;"Scorable","Not scorable",IF(COUNT(F48:J48)&lt;&gt;5,"Missing scores",IF(AND(COUNTIFS(F48:J48,1)+COUNTIFS(F48:J48,2)+COUNTIFS(F48:J48,5)&gt;0,L48=""),"Missing rationale","Complete")))</x:f>
        <x:v>Complete</x:v>
      </x:c>
    </x:row>
    <x:row r="49" ht="180" customHeight="1">
      <x:c r="A49" s="21" t="str">
        <x:v>RATE-B98C718BF52C</x:v>
      </x:c>
      <x:c r="B49" s="21" t="str">
        <x:v>SPEC-17</x:v>
      </x:c>
      <x:c r="C49"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49" s="21" t="str">
        <x:v>Coverage depth: HIGH
Depth justification: The feature impacts security and critical POS terminal functionality, requiring thorough testing to ensure no disruptions or vulnerabilities are introduced.
Functional tests:
1. Verify that the script successfully adds the antivirus exclusion for the remote tunneling tool.
2. Confirm that the remote tunneling tool is no longer flagged as a security threat by Windows Defender after the script is executed.
3. Validate that the script logs all actions performed, including success or failure messages.
Smoke tests:
1. Run the script on a single POS terminal and verify that it executes without errors.
2. Ensure that the POS terminal remains operational after the script execution.
3. Check that the remote tunneling tool can be launched without being flagged as a threat.
Regression tests:
1. Verify that existing antivirus exclusions on the POS terminals are not removed or altered by the script.
2. Ensure that other critical POS terminal functionalities (e.g., payment processing, network connectivity) are unaffected after the script execution.
3. Test the script on older versions of the POS terminal software to confirm backward compatibility.
Integration tests:
1. Test the script deployment through the remote management tool to ensure it executes correctly on multiple POS terminals.
2. Verify that the antivirus exclusion is applied consistently across different POS terminal models and configurations.
3. Check that the remote management tool can still establish remote sessions after the script is executed.
Exploratory tests:
1. Run the script in a simulated environment with intentionally misconfigured antivirus settings to observe behavior.
2. Test the script on a POS terminal with limited system resources to identify potential performance issues.
3. Execute the script multiple times on the same terminal to check for idempotency and error handling.
Clarification flags:
1. Details on the specific POS terminal models and configurations to be tested.
2. Confirmation of the lab environments available for testing.
3. Expected logging and error handling behavior of the script.
Effort estimate: 15–25 test cases
Effort notes: Effort includes testing across various POS terminal models, configurations, and environments to ensure comprehensive coverage.</x:v>
      </x:c>
      <x:c r="E49" s="21" t="str">
        <x:v>Scorable</x:v>
      </x:c>
      <x:c r="F49" s="28" t="n">
        <x:v>3</x:v>
      </x:c>
      <x:c r="G49" s="28" t="n">
        <x:v>4</x:v>
      </x:c>
      <x:c r="H49" s="28" t="n">
        <x:v>4</x:v>
      </x:c>
      <x:c r="I49" s="28" t="n">
        <x:v>4</x:v>
      </x:c>
      <x:c r="J49" s="28" t="n">
        <x:v>2</x:v>
      </x:c>
      <x:c r="K49" s="28" t="n">
        <x:f>IF(E49&lt;&gt;"Scorable","",IF(COUNT(F49:J49)=5,SUM(F49:J49),""))</x:f>
        <x:v>17</x:v>
      </x:c>
      <x:c r="L49" s="24" t="str">
        <x:v>Clarification 2: a critical or multiple important consensus expectations remain weak or missing; Frozen implicit consensus elements were treated as essential where applicable.</x:v>
      </x:c>
      <x:c r="M49" s="21" t="str">
        <x:f>IF(E49&lt;&gt;"Scorable","Not scorable",IF(COUNT(F49:J49)&lt;&gt;5,"Missing scores",IF(AND(COUNTIFS(F49:J49,1)+COUNTIFS(F49:J49,2)+COUNTIFS(F49:J49,5)&gt;0,L49=""),"Missing rationale","Complete")))</x:f>
        <x:v>Complete</x:v>
      </x:c>
    </x:row>
    <x:row r="50" ht="180" customHeight="1">
      <x:c r="A50" s="21" t="str">
        <x:v>RATE-16EA5053A858</x:v>
      </x:c>
      <x:c r="B50" s="21" t="str">
        <x:v>SPEC-05</x:v>
      </x:c>
      <x:c r="C50"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50" s="21" t="str">
        <x:v>Coverage depth: HIGH
Depth justification: This is a new feature that impacts multiple system areas, including menu configuration, pricing, and integrations, with potential for significant downstream effects.
Functional tests:
1. Verify that the extra-large size tier is displayed for iced coffee, iced latte, and refreshers in the POS menu.
2. Validate that the extra-large size tier is displayed for seasonal hero build variants where applicable.
3. Ensure that the extra-large size tier prices correctly at 2x the medium beverage price for all applicable items.
4. Test that the default modifier count for the extra-large size is set to 6.
5. Verify that all existing modifiers are available for the extra-large size tier.
6. Check that no suggested retail price is applied to the default modifier build for the extra-large size.
Smoke tests:
1. Confirm that the POS system loads the menu without errors after the new size tier addition.
2. Verify that other size tiers (small, medium, large) are unaffected and still function correctly.
3. Ensure that the pricing engine calculates prices correctly for all size tiers, including the new extra-large size.
Regression tests:
1. Test the pricing and availability of all existing size tiers for iced coffee, iced latte, and refreshers.
2. Validate that seasonal hero build variants for other sizes (small, medium, large) are unaffected.
3. Ensure that the default modifier counts for other size tiers remain unchanged.
4. Check that the POS system handles custom modifier configurations correctly for all size tiers.
5. Verify that reporting and sales data for beverages are correctly recorded and unaffected by the new size tier.
Integration tests:
1. Validate that the pricing engine correctly integrates with the POS system to reflect the new extra-large size tier pricing.
2. Ensure that the menu configuration updates propagate correctly to all connected POS terminals.
3. Test that sales data for the extra-large size tier is correctly transmitted to the reporting system.
4. Verify that the inventory management system reflects the correct consumption of ingredients for extra-large size orders.
Exploratory tests:
1. Test edge cases where a customer selects the extra-large size but removes all modifiers.
2. Verify behavior when a customer applies an unusually high number of modifiers to an extra-large size beverage.
3. Check how the system handles orders with mixed size tiers, including the new extra-large size.
4. Test the behavior of the seasonal hero build variants when the extra-large size is selected with custom modifiers.
5. Explore the impact of discounts or promotions applied to the extra-large size tier.
Clarification flags:
1. Are there any specific seasonal hero build variants that need to be tested, or should all be considered?
2. Should the extra-large size tier be available for any other beverages beyond iced coffee, iced latte, and refreshers?
3. Are there any specific promotions or discounts that need to be validated for the extra-large size tier?
4. What is the expected behavior if a customer exceeds the default modifier count of 6 for the extra-large size?
Effort estimate: 25–35 test cases
Effort notes: Effort reflects the need to validate functional, regression, and integration aspects comprehensively, with additional exploratory testing for edge cases.</x:v>
      </x:c>
      <x:c r="E50" s="21" t="str">
        <x:v>Scorable</x:v>
      </x:c>
      <x:c r="F50" s="28" t="n">
        <x:v>5</x:v>
      </x:c>
      <x:c r="G50" s="28" t="n">
        <x:v>4</x:v>
      </x:c>
      <x:c r="H50" s="28" t="n">
        <x:v>4</x:v>
      </x:c>
      <x:c r="I50" s="28" t="n">
        <x:v>4</x:v>
      </x:c>
      <x:c r="J50" s="28" t="n">
        <x:v>3</x:v>
      </x:c>
      <x:c r="K50" s="28" t="n">
        <x:f>IF(E50&lt;&gt;"Scorable","",IF(COUNT(F50:J50)=5,SUM(F50:J50),""))</x:f>
        <x:v>20</x:v>
      </x:c>
      <x:c r="L50" s="24" t="str">
        <x:v>Completeness 5: essentially all material consensus expectations are covered at this dimension; Frozen implicit consensus elements were treated as essential where applicable.</x:v>
      </x:c>
      <x:c r="M50" s="21" t="str">
        <x:f>IF(E50&lt;&gt;"Scorable","Not scorable",IF(COUNT(F50:J50)&lt;&gt;5,"Missing scores",IF(AND(COUNTIFS(F50:J50,1)+COUNTIFS(F50:J50,2)+COUNTIFS(F50:J50,5)&gt;0,L50=""),"Missing rationale","Complete")))</x:f>
        <x:v>Complete</x:v>
      </x:c>
    </x:row>
    <x:row r="51" ht="180" customHeight="1">
      <x:c r="A51" s="21" t="str">
        <x:v>RATE-A7BC5E1550B5</x:v>
      </x:c>
      <x:c r="B51" s="21" t="str">
        <x:v>SPEC-08</x:v>
      </x:c>
      <x:c r="C51"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51" s="21" t="str">
        <x:v>Terminal invalid JSON. This observation is retained as a structural failure and receives no rubric score.</x:v>
      </x:c>
      <x:c r="E51" s="21" t="str">
        <x:v>Not scorable — terminal invalid JSON</x:v>
      </x:c>
      <x:c r="F51" s="29"/>
      <x:c r="G51" s="29"/>
      <x:c r="H51" s="29"/>
      <x:c r="I51" s="29"/>
      <x:c r="J51" s="29"/>
      <x:c r="K51" s="29" t="str">
        <x:f>IF(E51&lt;&gt;"Scorable","",IF(COUNT(F51:J51)=5,SUM(F51:J51),""))</x:f>
      </x:c>
      <x:c r="L51" s="26"/>
      <x:c r="M51" s="21" t="str">
        <x:f>IF(E51&lt;&gt;"Scorable","Not scorable",IF(COUNT(F51:J51)&lt;&gt;5,"Missing scores",IF(AND(COUNTIFS(F51:J51,1)+COUNTIFS(F51:J51,2)+COUNTIFS(F51:J51,5)&gt;0,L51=""),"Missing rationale","Complete")))</x:f>
        <x:v>Not scorable</x:v>
      </x:c>
    </x:row>
    <x:row r="52" ht="180" customHeight="1">
      <x:c r="A52" s="21" t="str">
        <x:v>RATE-90B6789FB479</x:v>
      </x:c>
      <x:c r="B52" s="21" t="str">
        <x:v>SPEC-06</x:v>
      </x:c>
      <x:c r="C52"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52" s="21" t="str">
        <x:v>Coverage depth: MEDIUM
Depth justification: The change is an enhancement to the existing app, which requires moderate testing to ensure the new functionality works correctly and does not introduce regressions
Functional tests:
1. Configure a menu item with a time window that spans multiple days and verify the item's availability during the defined time window
2. Test scheduling a menu item with separate start and end dates, and verify the app runs correctly until the end date
3. Validate that the app correctly handles time windows that cross midnight (e.g., 10 PM to 2 AM the next day)
4. Verify that menu items are correctly enabled or disabled based on the defined time window
5. Test the app's behavior when the start date is in the past and the end date is in the future
6. Configure multiple menu items with overlapping time windows and verify that the app correctly handles conflicts
Smoke tests:
1. Verify that the POS platform's core functionality remains unaffected by the Menu Item Availability app's changes
2. Test that other extensions and integrations continue to work as expected with the updated app
3. Check that the app's changes do not introduce any visual or usability issues in the POS platform
Regression tests:
1. Re-test existing menu item scheduling scenarios to ensure the new changes do not introduce regressions
2. Verify that the app still correctly handles single combined start datetime and end datetime configurations (for backwards compatibility)
3. Test that the app's changes do not affect the functionality of other POS platform features, such as inventory management or order processing
Integration tests:
1. Test the integration between the Menu Item Availability app and the POS platform's inventory management system
2. Verify that the app correctly communicates with the POS platform's order processing system to enable or disable menu items
3. Validate that the app's changes do not affect the integration with other third-party services or extensions
Exploratory tests:
1. Test the app's behavior with unusual or edge-case time window configurations (e.g., a time window that spans multiple months or years)
2. Verify that the app correctly handles time zones and daylight saving time (DST) changes
3. Explore the app's behavior when the system clock is changed or the device is moved to a different time zone
Clarification flags:
1. What is the expected behavior when a menu item's time window overlaps with another menu item's time window?
2. How does the app handle time windows that are defined with invalid or inconsistent dates (e.g., start date after end date)?
3. Are there any specific requirements or constraints for testing the app in the older POS platform version (18.x)?
4. What is the definition of 'non-traditional store locations' and how do they affect the testing of the Menu Item Availability app?
Effort estimate: 20–40 test cases
Effort notes: The estimate assumes a small QA team with some familiarity with the POS platform and the Menu Item Availability app. The actual number of test cases may vary depending on the team's experience and the complexity of the testing environment</x:v>
      </x:c>
      <x:c r="E52" s="21" t="str">
        <x:v>Scorable</x:v>
      </x:c>
      <x:c r="F52" s="28" t="n">
        <x:v>4</x:v>
      </x:c>
      <x:c r="G52" s="28" t="n">
        <x:v>4</x:v>
      </x:c>
      <x:c r="H52" s="28" t="n">
        <x:v>2</x:v>
      </x:c>
      <x:c r="I52" s="28" t="n">
        <x:v>5</x:v>
      </x:c>
      <x:c r="J52" s="28" t="n">
        <x:v>3</x:v>
      </x:c>
      <x:c r="K52" s="28" t="n">
        <x:f>IF(E52&lt;&gt;"Scorable","",IF(COUNT(F52:J52)=5,SUM(F52:J52),""))</x:f>
        <x:v>18</x:v>
      </x:c>
      <x:c r="L52" s="24" t="str">
        <x:v>Risk 2: a critical or multiple important consensus expectations remain weak or missing; Integration 5: essentially all material consensus expectations are covered at this dimension; Frozen implicit consensus elements were treated as essential where applicable.</x:v>
      </x:c>
      <x:c r="M52" s="21" t="str">
        <x:f>IF(E52&lt;&gt;"Scorable","Not scorable",IF(COUNT(F52:J52)&lt;&gt;5,"Missing scores",IF(AND(COUNTIFS(F52:J52,1)+COUNTIFS(F52:J52,2)+COUNTIFS(F52:J52,5)&gt;0,L52=""),"Missing rationale","Complete")))</x:f>
        <x:v>Complete</x:v>
      </x:c>
    </x:row>
    <x:row r="53" ht="180" customHeight="1">
      <x:c r="A53" s="21" t="str">
        <x:v>RATE-262BED84262A</x:v>
      </x:c>
      <x:c r="B53" s="21" t="str">
        <x:v>SPEC-14</x:v>
      </x:c>
      <x:c r="C53"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53" s="21" t="str">
        <x:v>Coverage depth: HIGH
Depth justification: The app is critical for business operations, and the version upgrade must be validated across multiple devices and OS versions to ensure compatibility and prevent disruptions in production.
Functional tests:
1. Verify that the digital ordering app launches successfully on Gen 10 and Gen 11 tablets running iOS 18.5.
2. Verify that the digital ordering app launches successfully on Gen 10 and Gen 11 tablets running iOS 26.1.
3. Validate core ordering workflows (e.g., adding items to cart, modifying orders, and completing checkout) on Gen 10 and Gen 11 tablets with iOS 18.5.
4. Validate core ordering workflows on Gen 10 and Gen 11 tablets with iOS 26.1.
5. Verify that user login and authentication work correctly on all device and OS combinations.
6. Validate that the app handles network interruptions gracefully during order submission on iOS 18.5 and iOS 26.1.
Smoke tests:
1. Verify app installation and launch on Gen 10 and Gen 11 tablets with iOS 18.5.
2. Verify app installation and launch on Gen 10 and Gen 11 tablets with iOS 26.1.
3. Perform a basic end-to-end order placement test on Gen 10 and Gen 11 tablets with iOS 18.5.
Regression tests:
1. Verify that all previously supported payment methods (e.g., credit card, gift card) function correctly on iOS 18.5.
2. Validate that the app's UI layout and responsiveness remain consistent on Gen 10 and Gen 11 tablets with iOS 18.5.
3. Verify that order history and saved user preferences are retained after the version upgrade on iOS 18.5.
Integration tests:
1. Validate that orders placed through the app are correctly reflected in the backend order management system on iOS 18.5 and iOS 26.1.
2. Verify that push notifications (e.g., order status updates) are received and displayed correctly on all device and OS combinations.
3. Test integration with third-party payment gateways to ensure successful transactions on iOS 18.5 and iOS 26.1.
Exploratory tests:
1. Test app behavior when switching between Wi-Fi and cellular networks during an active session.
2. Test app performance under high load conditions (e.g., multiple orders placed in quick succession).
3. Explore app behavior when switching between portrait and landscape modes on Gen 10 and Gen 11 tablets.
4. Test app behavior when the device battery is critically low or charging is interrupted during an order.
Clarification flags:
1. Pending vendor release notes to identify specific behavior changes or known issues in the new version.
2. Confirmation of any additional OS versions or device models that need to be included in testing.
3. Details on whether performance benchmarks or specific metrics need to be validated.
Effort estimate: 20–30 test cases
Effort notes: Effort includes testing across four device-OS combinations and prioritizing iOS 18.5 as the production standard.</x:v>
      </x:c>
      <x:c r="E53" s="21" t="str">
        <x:v>Scorable</x:v>
      </x:c>
      <x:c r="F53" s="28" t="n">
        <x:v>3</x:v>
      </x:c>
      <x:c r="G53" s="28" t="n">
        <x:v>3</x:v>
      </x:c>
      <x:c r="H53" s="28" t="n">
        <x:v>5</x:v>
      </x:c>
      <x:c r="I53" s="28" t="n">
        <x:v>3</x:v>
      </x:c>
      <x:c r="J53" s="28" t="n">
        <x:v>4</x:v>
      </x:c>
      <x:c r="K53" s="28" t="n">
        <x:f>IF(E53&lt;&gt;"Scorable","",IF(COUNT(F53:J53)=5,SUM(F53:J53),""))</x:f>
        <x:v>18</x:v>
      </x:c>
      <x:c r="L53" s="24" t="str">
        <x:v>Risk 5: depth matches consensus and the justification is materially risk-specific; Frozen implicit consensus elements were treated as essential where applicable.</x:v>
      </x:c>
      <x:c r="M53" s="21" t="str">
        <x:f>IF(E53&lt;&gt;"Scorable","Not scorable",IF(COUNT(F53:J53)&lt;&gt;5,"Missing scores",IF(AND(COUNTIFS(F53:J53,1)+COUNTIFS(F53:J53,2)+COUNTIFS(F53:J53,5)&gt;0,L53=""),"Missing rationale","Complete")))</x:f>
        <x:v>Complete</x:v>
      </x:c>
    </x:row>
    <x:row r="54" ht="180" customHeight="1">
      <x:c r="A54" s="21" t="str">
        <x:v>RATE-4B44F9EA70AD</x:v>
      </x:c>
      <x:c r="B54" s="21" t="str">
        <x:v>SPEC-13</x:v>
      </x:c>
      <x:c r="C54"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54" s="21" t="str">
        <x:v>Coverage depth: MEDIUM
Depth justification: The change is limited to a specific area of the system, but it has a moderate impact on the user experience and business operations
Functional tests:
1. Verify that the new zone is successfully added to the POS hierarchy
2. Confirm that properties assigned to the new zone inherit the standard brand POS configuration
3. Validate that the correct full-menu page design is applied to properties in the new zone
4. Check that the limited-menu bakery and beverage-only page design is not applied to properties in the new zone
Smoke tests:
1. Verify that the POS system is accessible and functional for properties in the new zone
2. Confirm that menu items are correctly displayed for properties in the new zone
Regression tests:
1. Test that existing zones and properties are not affected by the addition of the new zone
2. Verify that the standard brand POS configuration is still applied correctly to properties in other zones
Integration tests:
1. Test that the new zone is correctly integrated with the menu and page design systems
2. Verify that changes to the standard brand POS configuration are correctly propagated to properties in the new zone
Exploratory tests:
1. Explore the impact of assigning a property to multiple zones, including the new zone
2. Investigate how changes to the new zone's configuration affect properties assigned to it
3. Test the behavior of the POS system when a property is moved from the new zone to another zone
Clarification flags:
1. How will the new zone be differentiated from existing zones in the POS hierarchy?
2. What are the specific configuration settings that will be inherited from the standard brand POS configuration?
3. Are there any existing properties that will be automatically assigned to the new zone, or will this be a manual process?
Effort estimate: 15–30 test cases
Effort notes: The estimate assumes a small QA team with some familiarity with the POS system and hierarchy management</x:v>
      </x:c>
      <x:c r="E54" s="21" t="str">
        <x:v>Scorable</x:v>
      </x:c>
      <x:c r="F54" s="28" t="n">
        <x:v>4</x:v>
      </x:c>
      <x:c r="G54" s="28" t="n">
        <x:v>4</x:v>
      </x:c>
      <x:c r="H54" s="28" t="n">
        <x:v>2</x:v>
      </x:c>
      <x:c r="I54" s="28" t="n">
        <x:v>3</x:v>
      </x:c>
      <x:c r="J54" s="28" t="n">
        <x:v>3</x:v>
      </x:c>
      <x:c r="K54" s="28" t="n">
        <x:f>IF(E54&lt;&gt;"Scorable","",IF(COUNT(F54:J54)=5,SUM(F54:J54),""))</x:f>
        <x:v>16</x:v>
      </x:c>
      <x:c r="L54" s="24" t="str">
        <x:v>Risk 2: a critical or multiple important consensus expectations remain weak or missing; Frozen implicit consensus elements were treated as essential where applicable.</x:v>
      </x:c>
      <x:c r="M54" s="21" t="str">
        <x:f>IF(E54&lt;&gt;"Scorable","Not scorable",IF(COUNT(F54:J54)&lt;&gt;5,"Missing scores",IF(AND(COUNTIFS(F54:J54,1)+COUNTIFS(F54:J54,2)+COUNTIFS(F54:J54,5)&gt;0,L54=""),"Missing rationale","Complete")))</x:f>
        <x:v>Complete</x:v>
      </x:c>
    </x:row>
    <x:row r="55" ht="180" customHeight="1">
      <x:c r="A55" s="21" t="str">
        <x:v>RATE-6457686DDE5E</x:v>
      </x:c>
      <x:c r="B55" s="21" t="str">
        <x:v>SPEC-17</x:v>
      </x:c>
      <x:c r="C55"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55" s="21" t="str">
        <x:v>Coverage depth: MEDIUM
Depth justification: The change involves a security-related script deployment with potential impacts on POS terminal functionality and remote management. While the risk is moderate, the scope is limited to specific configurations and behaviours.
Functional tests:
1. Verify that the script successfully adds the antivirus exclusion for the remote tunneling tool on a POS terminal.
2. Validate that the remote tunneling tool is no longer flagged as a security threat by Windows Defender after the script execution.
3. Confirm that the script logs its execution steps and any errors encountered during the process.
4. Test the script's ability to handle re-execution on a terminal where the exclusion is already applied.
Smoke tests:
1. Ensure that the POS terminal boots and operates normally after the script is executed.
2. Verify that critical POS functionalities, such as transaction processing and receipt printing, are unaffected post-script execution.
3. Check that the remote tunneling tool can establish a connection to the support server after the exclusion is applied.
Regression tests:
1. Validate that no other antivirus exclusions are removed or modified by the script.
2. Ensure that existing POS terminal configurations, such as network settings and user access controls, remain unchanged.
3. Verify that the POS terminal's antivirus continues to detect and block other known threats after the exclusion is applied.
Integration tests:
1. Test end-to-end connectivity by initiating a remote support session using the tunneling tool after the script is executed.
2. Validate that the antivirus exclusion persists across system reboots and does not interfere with remote management tool updates.
3. Confirm that the script works correctly in different lab environments with varying POS terminal configurations and antivirus versions.
Exploratory tests:
1. Test the script on a POS terminal with limited disk space or memory to observe any performance impacts.
2. Execute the script on a terminal with a corrupted or outdated antivirus database to evaluate its behaviour.
3. Run the script on a terminal where the remote tunneling tool is not installed to ensure it handles this scenario gracefully.
4. Test the script on terminals with different regional settings or non-standard configurations to identify any locale-specific issues.
Clarification flags:
1. What are the specific lab environments and configurations that need to be tested (e.g., antivirus versions, POS terminal models)?
2. Are there any specific error handling or rollback mechanisms built into the script that need validation?
3. Should the script be tested for compatibility with future updates to the remote tunneling tool or antivirus software?
4. Is there a requirement to test the script on production-like environments, or is testing limited to lab setups?
Effort estimate: 12–18 test cases
Effort notes: Effort is based on testing across multiple lab environments and validating both functional and integration aspects of the script.</x:v>
      </x:c>
      <x:c r="E55" s="21" t="str">
        <x:v>Scorable</x:v>
      </x:c>
      <x:c r="F55" s="28" t="n">
        <x:v>4</x:v>
      </x:c>
      <x:c r="G55" s="28" t="n">
        <x:v>4</x:v>
      </x:c>
      <x:c r="H55" s="28" t="n">
        <x:v>3</x:v>
      </x:c>
      <x:c r="I55" s="28" t="n">
        <x:v>5</x:v>
      </x:c>
      <x:c r="J55" s="28" t="n">
        <x:v>2</x:v>
      </x:c>
      <x:c r="K55" s="28" t="n">
        <x:f>IF(E55&lt;&gt;"Scorable","",IF(COUNT(F55:J55)=5,SUM(F55:J55),""))</x:f>
        <x:v>18</x:v>
      </x:c>
      <x:c r="L55" s="24" t="str">
        <x:v>Integration 5: essentially all material consensus expectations are covered at this dimension; Clarification 2: a critical or multiple important consensus expectations remain weak or missing; Frozen implicit consensus elements were treated as essential where applicable.</x:v>
      </x:c>
      <x:c r="M55" s="21" t="str">
        <x:f>IF(E55&lt;&gt;"Scorable","Not scorable",IF(COUNT(F55:J55)&lt;&gt;5,"Missing scores",IF(AND(COUNTIFS(F55:J55,1)+COUNTIFS(F55:J55,2)+COUNTIFS(F55:J55,5)&gt;0,L55=""),"Missing rationale","Complete")))</x:f>
        <x:v>Complete</x:v>
      </x:c>
    </x:row>
    <x:row r="56" ht="180" customHeight="1">
      <x:c r="A56" s="21" t="str">
        <x:v>RATE-CB668113ED87</x:v>
      </x:c>
      <x:c r="B56" s="21" t="str">
        <x:v>SPEC-13</x:v>
      </x:c>
      <x:c r="C56"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56" s="21" t="str">
        <x:v>Coverage depth: MEDIUM
Depth justification: This is a configuration change (new zone addition) rather than a new feature or code change, which limits inherent code risk. However, the change touches the POS hierarchy inheritance model, page design assignment, and configuration distribution pipeline — all of which are high-impact if misconfigured. The risk of incorrect menu design being served to live store terminals, or of adjacent zones being inadvertently affected, justifies medium-depth coverage with focused regression on neighbouring zones.
Functional tests:
1. Verify the new zone exists in the POS hierarchy under the non-traditional store network with the correct name, code, and parent node assignment.
2. Verify that properties assigned to the new zone inherit the standard brand POS configuration and not the limited-menu non-traditional configuration.
3. Verify that the full-menu page design is pulled down to a POS terminal at a property assigned to the new zone after a configuration sync or pull.
4. Verify that the limited-menu bakery and beverage-only page design is explicitly absent from terminals at properties assigned to the new zone.
5. Verify that all expected full-menu categories, items, and modifiers are present and correctly rendered on the POS page design pulled down to the new zone.
6. Verify that a property can be successfully assigned to the new zone via the hierarchy management tool without errors.
7. Verify that reassigning a property from an existing non-traditional zone to the new zone results in the correct full-menu page design being applied on next sync.
8. Verify that the zone-level configuration inheritance chain resolves correctly: new zone inherits from standard brand, not from the non-traditional limited-menu parent zone.
9. Verify that POS terminals at properties in the new zone display the correct pricing consistent with the standard brand configuration.
10. Verify that any zone-level overrides (e.g., tax rates, tender types, receipt settings) defined at the standard brand level are correctly inherited and applied at the new zone.
Smoke tests:
1. Confirm the new zone is visible and selectable in the hierarchy management interface.
2. Confirm at least one test property assigned to the new zone successfully pulls down a configuration package without errors.
3. Confirm the POS terminal at the test property boots and reaches an operational state after pulling the new zone configuration.
4. Confirm the full-menu page design loads on the POS terminal and is navigable without crashes or missing page elements.
5. Confirm that a basic transaction (item selection, tender, receipt) can be completed end-to-end on a terminal in the new zone.
Regression tests:
1. Verify that existing non-traditional properties assigned to other zones still pull down the limited-menu bakery and beverage-only page design unchanged.
2. Verify that standard brand (traditional) properties are unaffected by the new zone addition and continue to pull down their expected configuration.
3. Verify that the hierarchy tree structure for all existing zones remains intact and no parent-child relationships have been altered.
4. Verify that configuration sync and pull-down processes for properties in existing non-traditional zones complete without errors after the new zone is added.
5. Verify that menu and page design publishing workflows for existing zones are unaffected and publish correctly to their respective terminals.
6. Verify that reporting and back-office systems that reference zone identifiers continue to correctly categorise transactions from existing zones.
7. Verify that any scheduled configuration deployment jobs affecting the non-traditional network do not inadvertently target or alter the new zone's properties.
8. Verify that the limited-menu page design has not been modified or corrupted as a side-effect of the new zone configuration work.
Integration tests:
1. Verify that the configuration management system (e.g., Menulink, Xenial, or equivalent) correctly publishes the full-menu page design package to properties in the new zone when a deployment is triggered.
2. Verify that POS terminals in the new zone successfully receive, apply, and acknowledge the configuration package via the end-to-end sync/pull mechanism.
3. Verify that transaction data from a terminal in the new zone is correctly attributed to the new zone in back-office and reporting systems.
4. Verify that menu item PLUs and barcodes from the full-menu configuration resolve correctly at the POS in the new zone during a live transaction.
5. Verify that any loyalty, discount, or promotional engine integrations apply correctly based on the full-menu item set at the new zone properties.
6. Verify that the hierarchy change is reflected correctly in any downstream systems that consume zone or property data (e.g., labour scheduling, inventory, analytics platforms).
Exploratory tests:
1. Probe what happens when a property is assigned to the new zone but a configuration pull has not yet been performed — does the terminal fall back gracefully or display an error?
2. Probe whether any menu items exist in the full-menu page design that share PLUs or identifiers with items in the limited-menu page design, and whether conflicts cause incorrect item rendering.
3. Probe the behaviour when a property is moved back from the new zone to an existing non-traditional zone — does the limited-menu page design correctly re-apply on next sync?
4. Probe whether the new zone can be accidentally selected as a parent zone for future zone creation, and whether the hierarchy tool enforces correct structural rules.
5. Probe for any page design elements (buttons, backgrounds, navigation flows) that may reference the limited-menu design by hardcoded zone or template identifiers rather than inheriting dynamically.
6. Probe the configuration pull behaviour under poor or intermittent network conditions at a new zone property to confirm partial downloads do not leave the terminal in a mixed-menu state.
7. Probe whether adding a second or third property to the new zone produces consistent results compared to the first property, ruling out first-assignment anomalies.
Clarification flags:
1. What is the name and identifier of the new zone as it will appear in the hierarchy system? This is needed to confirm correct setup and reference in test cases.
2. Which specific POS configuration management platform is in use (e.g., Menulink, Xenial, Brink, custom system)? This affects how configuration pull-down and page design deployment are tested.
3. How many properties are being assigned to the new zone initially, and will any of them be live production sites during testing? This affects risk level and whether a staging environment is available.
4. Is there a staging or UAT hierarchy environment where the new zone can be validated before production deployment, or will testing occur directly in production?
5. What is the exact inheritance model — does the new zone inherit directly from the standard brand root node, or is there an intermediate non-traditional network node that must be bypassed or overridden?
6. Are there any zone-level configuration overrides (e.g., pricing, tax, tenders) that differ from the standard brand defaults and need to be applied to the new zone?
7. What triggers a configuration pull-down to terminals — is it automatic/scheduled, manually initiated at the terminal, or pushed from the back office? This affects how sync testing is performed.
8. Is the full-menu page design identical to the one used by traditional brand locations, or is it a variant specifically created for this new zone? If a variant, what differs?
9. Are there any items, modifiers, or categories in the full-menu page design that are restricted or unavailable at non-traditional locations for operational reasons (e.g., items requiring equipment not present at these sites)?
10. Which downstream systems (reporting, loyalty, inventory, labour) consume zone or property identifiers, and do any of them require manual updates to recognise the new zone?
Effort estimate: 28–42 test cases
Effort notes: Estimate assumes a small QA team with access to at least one physical or emulated POS terminal that can be assigned to the new zone, and access to the hierarchy management and configuration publishing tools. The lower bound reflects a single test property in the new zone; the upper bound accounts for testing multiple properties, additional edge-case exploratory scenarios, and thorough regression across existing non-traditional zones. Effort will increase significantly if the team must validate multiple terminal hardware types or if the configuration publishing tool requires manual approval steps between stages.</x:v>
      </x:c>
      <x:c r="E56" s="21" t="str">
        <x:v>Scorable</x:v>
      </x:c>
      <x:c r="F56" s="28" t="n">
        <x:v>5</x:v>
      </x:c>
      <x:c r="G56" s="28" t="n">
        <x:v>5</x:v>
      </x:c>
      <x:c r="H56" s="28" t="n">
        <x:v>3</x:v>
      </x:c>
      <x:c r="I56" s="28" t="n">
        <x:v>4</x:v>
      </x:c>
      <x:c r="J56" s="28" t="n">
        <x:v>4</x:v>
      </x:c>
      <x:c r="K56" s="28" t="n">
        <x:f>IF(E56&lt;&gt;"Scorable","",IF(COUNT(F56:J56)=5,SUM(F56:J56),""))</x:f>
        <x:v>21</x:v>
      </x:c>
      <x:c r="L56" s="24" t="str">
        <x:v>Completeness 5: essentially all material consensus expectations are covered at this dimension; Specificity 5: essentially all material consensus expectations are covered at this dimension; Frozen implicit consensus elements were treated as essential where applicable.</x:v>
      </x:c>
      <x:c r="M56" s="21" t="str">
        <x:f>IF(E56&lt;&gt;"Scorable","Not scorable",IF(COUNT(F56:J56)&lt;&gt;5,"Missing scores",IF(AND(COUNTIFS(F56:J56,1)+COUNTIFS(F56:J56,2)+COUNTIFS(F56:J56,5)&gt;0,L56=""),"Missing rationale","Complete")))</x:f>
        <x:v>Complete</x:v>
      </x:c>
    </x:row>
    <x:row r="57" ht="180" customHeight="1">
      <x:c r="A57" s="21" t="str">
        <x:v>RATE-DEAB1E344FA8</x:v>
      </x:c>
      <x:c r="B57" s="21" t="str">
        <x:v>SPEC-03</x:v>
      </x:c>
      <x:c r="C57"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57" s="21" t="str">
        <x:v>Coverage depth: MEDIUM
Depth justification: Hardware replacement with potential impact on network performance and compatibility
Functional tests:
1. Verify Wi-Fi 7 access point connectivity with management devices on staff/management network
2. Validate brand-approved devices can connect and authenticate on brand-approved device network
3. Test line-busting tablets can connect and perform transactions on POS/line-busting network
4. Confirm guest devices can connect to guest network with appropriate access restrictions
5. Check Wi-Fi 7 access point roaming and handover between access points
6. Verify Wi-Fi 7 access point compatibility with existing network infrastructure and devices
Smoke tests:
1. Quick connectivity check on all network types (staff, brand-approved, POS, guest) to ensure no immediate issues
2. Basic authentication and authorization testing for each network type
3. High-level verification of network performance (speed, latency) on each network type
Regression tests:
1. Re-test existing network functionality (e.g., file transfers, video streaming) to ensure no regression
2. Validate network security features (firewall rules, access controls) are still enforced
3. Check for any impact on existing network-dependent applications (e.g., POS software, inventory management)
Integration tests:
1. End-to-end testing of POS transactions over Wi-Fi 7 access points
2. Integration testing with line-busting tablets and backend systems
3. Validate communication between devices on different networks (e.g., staff device to POS device)
Exploratory tests:
1. Test Wi-Fi 7 access point behavior under high device density and traffic conditions
2. Explore edge cases like device connection limits, concurrent connections, and disconnections
3. Investigate any potential issues with Wi-Fi 7 access point placement and physical obstructions
Clarification flags:
1. Specific requirements for network performance and security
2. Details on existing network infrastructure and device configurations
3. Information on any planned or existing automation testing for network infrastructure
Effort estimate: 20–40 test cases
Effort notes: Effort estimate assumes a small QA team with existing knowledge of network infrastructure and devices</x:v>
      </x:c>
      <x:c r="E57" s="21" t="str">
        <x:v>Scorable</x:v>
      </x:c>
      <x:c r="F57" s="28" t="n">
        <x:v>3</x:v>
      </x:c>
      <x:c r="G57" s="28" t="n">
        <x:v>4</x:v>
      </x:c>
      <x:c r="H57" s="28" t="n">
        <x:v>2</x:v>
      </x:c>
      <x:c r="I57" s="28" t="n">
        <x:v>3</x:v>
      </x:c>
      <x:c r="J57" s="28" t="n">
        <x:v>3</x:v>
      </x:c>
      <x:c r="K57" s="28" t="n">
        <x:f>IF(E57&lt;&gt;"Scorable","",IF(COUNT(F57:J57)=5,SUM(F57:J57),""))</x:f>
        <x:v>15</x:v>
      </x:c>
      <x:c r="L57" s="24" t="str">
        <x:v>Risk 2: a critical or multiple important consensus expectations remain weak or missing; Frozen implicit consensus elements were treated as essential where applicable.</x:v>
      </x:c>
      <x:c r="M57" s="21" t="str">
        <x:f>IF(E57&lt;&gt;"Scorable","Not scorable",IF(COUNT(F57:J57)&lt;&gt;5,"Missing scores",IF(AND(COUNTIFS(F57:J57,1)+COUNTIFS(F57:J57,2)+COUNTIFS(F57:J57,5)&gt;0,L57=""),"Missing rationale","Complete")))</x:f>
        <x:v>Complete</x:v>
      </x:c>
    </x:row>
    <x:row r="58" ht="180" customHeight="1">
      <x:c r="A58" s="21" t="str">
        <x:v>RATE-990B4BFD8E69</x:v>
      </x:c>
      <x:c r="B58" s="21" t="str">
        <x:v>SPEC-15</x:v>
      </x:c>
      <x:c r="C58"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58" s="21" t="str">
        <x:v>Coverage depth: MEDIUM
Depth justification: The fix is localized to a specific UI messaging issue, but testing requires validation across multiple configurations and scenarios to ensure no regressions.
Functional tests:
1. Verify that the correct message 'CANCEL TRANSACTION' is displayed on the POS terminal when a gift card transaction is canceled.
2. Validate that the incorrect message 'VOID NEW ITEMS AND CANCEL TRANSACTION' no longer appears during the cancellation process.
3. Test the behavior of the POS terminal when backend cloud processing is disabled to ensure the correct message is displayed.
Smoke tests:
1. Check that the POS terminal displays any message when a gift card transaction is canceled.
2. Verify that the POS terminal remains operational after canceling a gift card transaction.
Regression tests:
1. Ensure that other POS terminal messages for non-gift card transactions are not affected by the fix.
2. Validate that gift card transactions can still be completed successfully after the fix.
3. Confirm that enabling backend cloud processing does not reintroduce the incorrect message.
Integration tests:
1. Test the interaction between the POS terminal and the configuration files to ensure the correct message is retrieved.
2. Validate that disabling backend cloud processing does not interfere with other terminal functionalities.
Exploratory tests:
1. Test edge cases such as canceling a gift card transaction mid-process to observe terminal behavior.
2. Explore scenarios where backend cloud processing is toggled on and off multiple times to ensure consistent messaging.
3. Investigate terminal behavior when configuration files are intentionally corrupted or missing.
Clarification flags:
1. Details on how to disable backend cloud processing for testing.
2. Confirmation of the exact configuration files involved in the fix.
3. Clarification on whether the fix impacts any other transaction types or terminal messages.
Effort estimate: 10–15 test cases
Effort notes: Effort includes functional, regression, and integration testing, with additional exploratory testing for edge cases.</x:v>
      </x:c>
      <x:c r="E58" s="21" t="str">
        <x:v>Scorable</x:v>
      </x:c>
      <x:c r="F58" s="28" t="n">
        <x:v>4</x:v>
      </x:c>
      <x:c r="G58" s="28" t="n">
        <x:v>4</x:v>
      </x:c>
      <x:c r="H58" s="28" t="n">
        <x:v>4</x:v>
      </x:c>
      <x:c r="I58" s="28" t="n">
        <x:v>4</x:v>
      </x:c>
      <x:c r="J58" s="28" t="n">
        <x:v>4</x:v>
      </x:c>
      <x:c r="K58" s="28" t="n">
        <x:f>IF(E58&lt;&gt;"Scorable","",IF(COUNT(F58:J58)=5,SUM(F58:J58),""))</x:f>
        <x:v>20</x:v>
      </x:c>
      <x:c r="L58" s="24" t="str">
        <x:v>Frozen implicit consensus elements were treated as essential where applicable.</x:v>
      </x:c>
      <x:c r="M58" s="21" t="str">
        <x:f>IF(E58&lt;&gt;"Scorable","Not scorable",IF(COUNT(F58:J58)&lt;&gt;5,"Missing scores",IF(AND(COUNTIFS(F58:J58,1)+COUNTIFS(F58:J58,2)+COUNTIFS(F58:J58,5)&gt;0,L58=""),"Missing rationale","Complete")))</x:f>
        <x:v>Complete</x:v>
      </x:c>
    </x:row>
    <x:row r="59" ht="180" customHeight="1">
      <x:c r="A59" s="21" t="str">
        <x:v>RATE-016BFA00877F</x:v>
      </x:c>
      <x:c r="B59" s="21" t="str">
        <x:v>SPEC-06</x:v>
      </x:c>
      <x:c r="C59"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59" s="21" t="str">
        <x:v>Coverage depth: MEDIUM
Depth justification: The change affects a specific feature, but has potential impact on existing workflows and integrations, particularly in the older version 18.x
Functional tests:
1. Verify that the new scheduling window configuration allows for separate start and end dates
2. Verify that the new scheduling window configuration allows for separate start and end times
3. Verify that the app runs every day at the defined time window until the end date
4. Verify that the app correctly handles cases where the start date is in the past
5. Verify that the app correctly handles cases where the end date is in the future
6. Verify that the app correctly handles cases where the start and end times are the same
7. Verify that the app correctly handles cases where the start time is after the end time
Smoke tests:
1. Verify that the POS extension app is functional and accessible in both version 18.x and 19.x
2. Verify that the menu item scheduling feature is accessible and usable
Regression tests:
1. Verify that existing menu item scheduling functionality is unchanged for single combined start datetime and end datetime configurations
2. Verify that the app still runs correctly for existing schedules with single combined start datetime and end datetime
Integration tests:
1. Verify that the new scheduling window configuration integrates correctly with existing POS platform features
2. Verify that the app correctly interacts with non-traditional store locations in version 18.x
Exploratory tests:
1. Test the app with various edge cases, such as scheduling windows that span multiple days or have unusual start and end times
2. Test the app with different time zones and daylight saving time scenarios
3. Test the app with concurrent scheduling updates and deletions
Clarification flags:
1. Dependency details on non-traditional store locations in version 18.x
2. Specific requirements for handling time zones and daylight saving time
3. Expected behavior for concurrent scheduling updates and deletions
Effort estimate: 15–30 test cases
Effort notes: The estimate assumes a small QA team and prioritization of critical test cases, with potential for additional testing based on initial results and risk assessment</x:v>
      </x:c>
      <x:c r="E59" s="21" t="str">
        <x:v>Scorable</x:v>
      </x:c>
      <x:c r="F59" s="28" t="n">
        <x:v>3</x:v>
      </x:c>
      <x:c r="G59" s="28" t="n">
        <x:v>3</x:v>
      </x:c>
      <x:c r="H59" s="28" t="n">
        <x:v>2</x:v>
      </x:c>
      <x:c r="I59" s="28" t="n">
        <x:v>4</x:v>
      </x:c>
      <x:c r="J59" s="28" t="n">
        <x:v>2</x:v>
      </x:c>
      <x:c r="K59" s="28" t="n">
        <x:f>IF(E59&lt;&gt;"Scorable","",IF(COUNT(F59:J59)=5,SUM(F59:J59),""))</x:f>
        <x:v>14</x:v>
      </x:c>
      <x:c r="L59"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59" s="21" t="str">
        <x:f>IF(E59&lt;&gt;"Scorable","Not scorable",IF(COUNT(F59:J59)&lt;&gt;5,"Missing scores",IF(AND(COUNTIFS(F59:J59,1)+COUNTIFS(F59:J59,2)+COUNTIFS(F59:J59,5)&gt;0,L59=""),"Missing rationale","Complete")))</x:f>
        <x:v>Complete</x:v>
      </x:c>
    </x:row>
    <x:row r="60" ht="180" customHeight="1">
      <x:c r="A60" s="21" t="str">
        <x:v>RATE-ED6CAB6B0514</x:v>
      </x:c>
      <x:c r="B60" s="21" t="str">
        <x:v>SPEC-11</x:v>
      </x:c>
      <x:c r="C60"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60" s="21" t="str">
        <x:v>Coverage depth: HIGH
Depth justification: The feature involves critical pricing behavior that directly impacts customer trust and business decisions. It also has multiple integration points (mobile app, backend, pricing engine, POS).
Functional tests:
1. Verify that an advance order placed via the mobile app locks the item prices at the time of order submission.
2. Verify that the locked prices are displayed correctly in the order confirmation screen in the mobile app.
3. Verify that the locked prices are stored correctly in the backend order database.
4. Verify that the mobile app sends the correct locked prices to the POS system during order fulfillment.
5. Verify that the POS system processes the order using the locked prices without any discrepancies.
Smoke tests:
1. Verify that a standard order (non-advance) processes correctly with current item prices.
2. Verify that the mobile app can successfully place an advance order without price changes in the system.
3. Verify that the POS system processes a standard order correctly without locked pricing logic.
Regression tests:
1. Verify that the mobile app's advance order functionality works as expected for orders without price changes.
2. Verify that the pricing engine calculates and displays current prices correctly for standard orders.
3. Verify that the POS system processes orders with current prices correctly for standard orders.
4. Verify that the mobile app correctly handles payment processing for advance orders.
Integration tests:
1. Validate the end-to-end flow where the mobile app places an advance order, the backend locks the prices, and the POS system processes the order with the locked prices.
2. Validate that the pricing engine correctly communicates locked prices to the backend order database.
3. Validate that the backend order database sends the correct locked prices to the POS system during order fulfillment.
Exploratory tests:
1. Test an advance order where multiple items have price changes before fulfillment to ensure all locked prices are respected.
2. Test an advance order where only some items have price changes before fulfillment to ensure partial price changes do not affect locked prices.
3. Test an advance order where the price of an item is reduced before fulfillment to ensure the locked price (higher price) is still applied.
4. Test an advance order where the price of an item is increased before fulfillment to ensure the locked price (lower price) is still applied.
5. Test an advance order where the item is discontinued before fulfillment to observe system behavior.
6. Test an advance order where the pickup time is modified after placing the order to ensure locked prices are still respected.
Clarification flags:
1. What is the expected behavior if an item in the advance order is discontinued before fulfillment?
2. Are there any specific error messages or fallback behaviors expected if the pricing engine or POS system fails to respect locked prices?
3. What is the expected behavior if the customer modifies the pickup time after placing the order?
4. Are there any specific configurations or system settings that need to be validated for locked pricing behavior?
5. Does the locked price include taxes and discounts, or are these recalculated at the time of fulfillment?
Effort estimate: 20–30 test cases
Effort notes: Effort is high due to the need for end-to-end validation, edge case testing, and integration testing across multiple systems.</x:v>
      </x:c>
      <x:c r="E60" s="21" t="str">
        <x:v>Scorable</x:v>
      </x:c>
      <x:c r="F60" s="28" t="n">
        <x:v>4</x:v>
      </x:c>
      <x:c r="G60" s="28" t="n">
        <x:v>4</x:v>
      </x:c>
      <x:c r="H60" s="28" t="n">
        <x:v>5</x:v>
      </x:c>
      <x:c r="I60" s="28" t="n">
        <x:v>4</x:v>
      </x:c>
      <x:c r="J60" s="28" t="n">
        <x:v>3</x:v>
      </x:c>
      <x:c r="K60" s="28" t="n">
        <x:f>IF(E60&lt;&gt;"Scorable","",IF(COUNT(F60:J60)=5,SUM(F60:J60),""))</x:f>
        <x:v>20</x:v>
      </x:c>
      <x:c r="L60" s="24" t="str">
        <x:v>Risk 5: depth matches consensus and the justification is materially risk-specific; Frozen implicit consensus elements were treated as essential where applicable.</x:v>
      </x:c>
      <x:c r="M60" s="21" t="str">
        <x:f>IF(E60&lt;&gt;"Scorable","Not scorable",IF(COUNT(F60:J60)&lt;&gt;5,"Missing scores",IF(AND(COUNTIFS(F60:J60,1)+COUNTIFS(F60:J60,2)+COUNTIFS(F60:J60,5)&gt;0,L60=""),"Missing rationale","Complete")))</x:f>
        <x:v>Complete</x:v>
      </x:c>
    </x:row>
    <x:row r="61" ht="180" customHeight="1">
      <x:c r="A61" s="21" t="str">
        <x:v>RATE-CD8FC921EF17</x:v>
      </x:c>
      <x:c r="B61" s="21" t="str">
        <x:v>SPEC-16</x:v>
      </x:c>
      <x:c r="C61"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61" s="21" t="str">
        <x:v>Coverage depth: MEDIUM
Depth justification: Moderate risk due to potential interference with existing coupons and discounts, balanced by prior validation of new promotional items
Functional tests:
1. Validate existing serialized coupons can still be applied successfully at POS with the new BIN ranges in place
2. Verify existing discounts are correctly calculated and applied with the new BIN ranges
3. Confirm existing coupon redemption rules are still enforced with the new BIN ranges
Smoke tests:
1. Quick sanity check of POS functionality with a sample of existing serialized coupons
2. Brief validation of content management system accessibility and performance
Regression tests:
1. Test existing serialized coupon application with various payment methods and BIN ranges
2. Validate existing discount stacking rules with new BIN ranges
3. Verify reporting and analytics for existing coupons and discounts with new BIN ranges
Integration tests:
1. Test integration between content management system and POS for existing serialized coupons with new BIN ranges
2. Validate data flow from content management system to POS for existing coupons and discounts
Exploratory tests:
1. Explore edge cases where existing serialized coupons may conflict with new promotional BIN ranges
2. Investigate potential timing issues with coupon expiration and new BIN range deployment
Clarification flags:
1. Specific details on existing serialized coupon and discount configurations
2. Confirmation of content management system deployment timeline and go-live date
3. Information on any recent changes to POS or content management system that may impact testing
Effort estimate: 15–30 test cases
Effort notes: Assuming a small QA team and leveraging prior validation of new promotional items, with focus on regression and integration testing</x:v>
      </x:c>
      <x:c r="E61" s="21" t="str">
        <x:v>Scorable</x:v>
      </x:c>
      <x:c r="F61" s="28" t="n">
        <x:v>3</x:v>
      </x:c>
      <x:c r="G61" s="28" t="n">
        <x:v>3</x:v>
      </x:c>
      <x:c r="H61" s="28" t="n">
        <x:v>4</x:v>
      </x:c>
      <x:c r="I61" s="28" t="n">
        <x:v>3</x:v>
      </x:c>
      <x:c r="J61" s="28" t="n">
        <x:v>2</x:v>
      </x:c>
      <x:c r="K61" s="28" t="n">
        <x:f>IF(E61&lt;&gt;"Scorable","",IF(COUNT(F61:J61)=5,SUM(F61:J61),""))</x:f>
        <x:v>15</x:v>
      </x:c>
      <x:c r="L61" s="24" t="str">
        <x:v>Clarification 2: a critical or multiple important consensus expectations remain weak or missing; Frozen implicit consensus elements were treated as essential where applicable.</x:v>
      </x:c>
      <x:c r="M61" s="21" t="str">
        <x:f>IF(E61&lt;&gt;"Scorable","Not scorable",IF(COUNT(F61:J61)&lt;&gt;5,"Missing scores",IF(AND(COUNTIFS(F61:J61,1)+COUNTIFS(F61:J61,2)+COUNTIFS(F61:J61,5)&gt;0,L61=""),"Missing rationale","Complete")))</x:f>
        <x:v>Complete</x:v>
      </x:c>
    </x:row>
    <x:row r="62" ht="180" customHeight="1">
      <x:c r="A62" s="21" t="str">
        <x:v>RATE-97DED93BF993</x:v>
      </x:c>
      <x:c r="B62" s="21" t="str">
        <x:v>SPEC-19</x:v>
      </x:c>
      <x:c r="C62"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62" s="21" t="str">
        <x:v>Terminal invalid JSON. This observation is retained as a structural failure and receives no rubric score.</x:v>
      </x:c>
      <x:c r="E62" s="21" t="str">
        <x:v>Not scorable — terminal invalid JSON</x:v>
      </x:c>
      <x:c r="F62" s="29"/>
      <x:c r="G62" s="29"/>
      <x:c r="H62" s="29"/>
      <x:c r="I62" s="29"/>
      <x:c r="J62" s="29"/>
      <x:c r="K62" s="29" t="str">
        <x:f>IF(E62&lt;&gt;"Scorable","",IF(COUNT(F62:J62)=5,SUM(F62:J62),""))</x:f>
      </x:c>
      <x:c r="L62" s="26"/>
      <x:c r="M62" s="21" t="str">
        <x:f>IF(E62&lt;&gt;"Scorable","Not scorable",IF(COUNT(F62:J62)&lt;&gt;5,"Missing scores",IF(AND(COUNTIFS(F62:J62,1)+COUNTIFS(F62:J62,2)+COUNTIFS(F62:J62,5)&gt;0,L62=""),"Missing rationale","Complete")))</x:f>
        <x:v>Not scorable</x:v>
      </x:c>
    </x:row>
    <x:row r="63" ht="180" customHeight="1">
      <x:c r="A63" s="21" t="str">
        <x:v>RATE-A43F84B5ABC2</x:v>
      </x:c>
      <x:c r="B63" s="21" t="str">
        <x:v>SPEC-04</x:v>
      </x:c>
      <x:c r="C63"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63" s="21" t="str">
        <x:v>Terminal invalid JSON. This observation is retained as a structural failure and receives no rubric score.</x:v>
      </x:c>
      <x:c r="E63" s="21" t="str">
        <x:v>Not scorable — terminal invalid JSON</x:v>
      </x:c>
      <x:c r="F63" s="29"/>
      <x:c r="G63" s="29"/>
      <x:c r="H63" s="29"/>
      <x:c r="I63" s="29"/>
      <x:c r="J63" s="29"/>
      <x:c r="K63" s="29" t="str">
        <x:f>IF(E63&lt;&gt;"Scorable","",IF(COUNT(F63:J63)=5,SUM(F63:J63),""))</x:f>
      </x:c>
      <x:c r="L63" s="26"/>
      <x:c r="M63" s="21" t="str">
        <x:f>IF(E63&lt;&gt;"Scorable","Not scorable",IF(COUNT(F63:J63)&lt;&gt;5,"Missing scores",IF(AND(COUNTIFS(F63:J63,1)+COUNTIFS(F63:J63,2)+COUNTIFS(F63:J63,5)&gt;0,L63=""),"Missing rationale","Complete")))</x:f>
        <x:v>Not scorable</x:v>
      </x:c>
    </x:row>
    <x:row r="64" ht="180" customHeight="1">
      <x:c r="A64" s="21" t="str">
        <x:v>RATE-B21F2C0E2E1F</x:v>
      </x:c>
      <x:c r="B64" s="21" t="str">
        <x:v>SPEC-09</x:v>
      </x:c>
      <x:c r="C64"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64" s="21" t="str">
        <x:v>Coverage depth: MEDIUM
Depth justification: Configuration change with specific impact on reporting and analytics, moderate user and business impact
Functional tests:
1. Verify the delivery markup percentage is updated to 26% for the specified third-party delivery platform in the reporting and analytics configuration tool
2. Confirm the markup change applies to both brands
3. Validate the change does not affect other delivery platforms
4. Test the change is effective as of the defined date
5. Determine if the markup change applies retroactively to prior transactions or only prospectively
Smoke tests:
1. Quick sanity check of the reporting and analytics configuration tool to ensure no immediate errors after the change
2. Verify data pipeline functionality is not disrupted
Regression tests:
1. Verify existing reports and analytics for the affected third-party delivery platform still function correctly
2. Confirm data consistency between the reporting and analytics configuration tool and the third-party delivery platform
Integration tests:
1. Test integration with the separate third-party reporting platform to ensure alignment with the markup change
2. Verify data flow from the third-party delivery platform to the reporting and analytics configuration tool
Exploratory tests:
1. Explore boundary conditions around the effective date of the change
2. Test with different transaction dates to understand retroactive vs prospective application
3. Investigate potential timing issues around the change deployment
Clarification flags:
1. Confirmation on whether the markup change applies retroactively or prospectively
2. Details on the separate third-party reporting platform's change requirements and timeline
3. Specific test data and scenarios for boundary conditions around the effective date
Effort estimate: 15–30 test cases
Effort notes: Assuming a small QA team and considering the specific nature of the change, with potential for some exploratory testing</x:v>
      </x:c>
      <x:c r="E64" s="21" t="str">
        <x:v>Scorable</x:v>
      </x:c>
      <x:c r="F64" s="28" t="n">
        <x:v>4</x:v>
      </x:c>
      <x:c r="G64" s="28" t="n">
        <x:v>4</x:v>
      </x:c>
      <x:c r="H64" s="28" t="n">
        <x:v>2</x:v>
      </x:c>
      <x:c r="I64" s="28" t="n">
        <x:v>4</x:v>
      </x:c>
      <x:c r="J64" s="28" t="n">
        <x:v>5</x:v>
      </x:c>
      <x:c r="K64" s="28" t="n">
        <x:f>IF(E64&lt;&gt;"Scorable","",IF(COUNT(F64:J64)=5,SUM(F64:J64),""))</x:f>
        <x:v>19</x:v>
      </x:c>
      <x:c r="L64" s="24" t="str">
        <x:v>Risk 2: a critical or multiple important consensus expectations remain weak or missing; Clarification 5: material consensus ambiguities are directly and actionably addressed; Frozen implicit consensus elements were treated as essential where applicable.</x:v>
      </x:c>
      <x:c r="M64" s="21" t="str">
        <x:f>IF(E64&lt;&gt;"Scorable","Not scorable",IF(COUNT(F64:J64)&lt;&gt;5,"Missing scores",IF(AND(COUNTIFS(F64:J64,1)+COUNTIFS(F64:J64,2)+COUNTIFS(F64:J64,5)&gt;0,L64=""),"Missing rationale","Complete")))</x:f>
        <x:v>Complete</x:v>
      </x:c>
    </x:row>
    <x:row r="65" ht="180" customHeight="1">
      <x:c r="A65" s="21" t="str">
        <x:v>RATE-DF52F7762767</x:v>
      </x:c>
      <x:c r="B65" s="21" t="str">
        <x:v>SPEC-10</x:v>
      </x:c>
      <x:c r="C65"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65" s="21" t="str">
        <x:v>Coverage depth: LOW
Depth justification: This is a certificate rotation — a well-understood infrastructure change with a defined, repeatable import process. The functional scope is narrow (one brand, one integration). Coverage should focus on confirming the new certificate is correctly installed, trusted, and referenced, and that existing loyalty and POS functionality is unaffected. Deep functional testing of loyalty business logic is out of scope.
Functional tests:
1. Verify that the certificate import process completes successfully on a POS terminal without errors or warnings
2. Verify that the certificate import process completes successfully on a tablet device without errors or warnings
3. Verify that the imported certificate is correctly referenced by the POS platform via the content management page settings for the affected brand
4. Verify that the content management page settings point to the new certificate and not the expiring/expired certificate after import
5. Verify that a loyalty transaction (e.g. points earn) can be completed end-to-end on a POS terminal after certificate renewal
6. Verify that a loyalty transaction (e.g. points redemption) can be completed end-to-end on a tablet after certificate renewal
7. Verify that the SSL handshake between the POS platform and the loyalty platform vendor server succeeds using the new certificate
8. Verify that the certificate import process fails gracefully and surfaces a meaningful error if an invalid or malformed certificate file is provided
9. Verify that the new certificate's expiry date, issuer, and subject fields are correct and match the expected values provided by the certificate authority
Smoke tests:
1. Verify that a POS terminal can establish a network connection to the loyalty platform after certificate import
2. Verify that a tablet can establish a network connection to the loyalty platform after certificate import
3. Verify that the POS terminal does not display SSL or certificate-related errors during a basic loyalty lookup or balance enquiry
4. Verify that the content management configuration page loads correctly and displays the updated certificate reference for the affected brand
5. Verify that POS core transaction functions (non-loyalty sale, refund) remain operational after the certificate import process runs
Regression tests:
1. Verify that loyalty transactions for other brands (not subject to this renewal) continue to function without disruption
2. Verify that the certificate import process does not overwrite or corrupt certificate references for other brands or integrations
3. Verify that existing content management page settings for unaffected brands remain unchanged after deployment
4. Verify that POS terminal startup and login are unaffected by the certificate import process having run
5. Verify that tablet startup and login are unaffected by the certificate import process having run
6. Verify that loyalty platform integration functions that were working prior to renewal (points enquiry, earn, redeem, member lookup) continue to work identically after renewal
7. Verify that transaction receipts referencing loyalty data are still generated correctly after certificate renewal
8. Verify that any scheduled or background processes on the POS that interact with the loyalty platform are not disrupted by the certificate change
Integration tests:
1. Verify end-to-end SSL/TLS connection from POS terminal through to the external loyalty platform vendor server using the new certificate installed on both sides
2. Verify end-to-end SSL/TLS connection from tablet through to the external loyalty platform vendor server using the new certificate
3. Verify that the loyalty platform vendor server presents the new certificate during the handshake and that the POS platform accepts it without trust errors
4. Verify that a full loyalty transaction flow (member identification → points calculation → confirmation response) completes successfully in the UAT environment zone with the new certificate in place
5. Verify that API responses from the loyalty platform are correctly parsed and displayed on the POS/tablet after the certificate change
6. Verify that connection timeout and retry behaviour functions correctly if the loyalty platform is temporarily unreachable after certificate deployment
7. Verify that the UAT environment zone correctly isolates the new certificate configuration from other environment zones and does not affect them
Exploratory tests:
1. Explore behaviour on a POS terminal or tablet where the certificate import process is interrupted mid-execution (e.g. device loses power or network) — does the device recover cleanly or enter a broken state?
2. Explore what happens if the certificate import process is run a second time on a device where the certificate is already installed — does it re-import cleanly, throw an error, or create duplicate entries?
3. Explore POS and tablet behaviour during the window when the old certificate has been removed but the new certificate has not yet been fully propagated — are errors surfaced clearly to staff?
4. Explore whether any hardcoded certificate thumbprints, pinned certificates, or trust store references exist in the POS platform configuration that would cause rejection of the new certificate even after import
5. Explore the content management system for any cached or stale references to the old certificate that may persist after the new certificate is configured
6. Explore loyalty transaction behaviour at the boundary of the old certificate's expiry date to confirm no residual references to the expiring certificate remain active
7. Explore whether devices that were offline during the certificate import rollout correctly receive and apply the certificate upon reconnection, without manual intervention
Clarification flags:
1. How many distinct POS terminal models and tablet models are in scope? If hardware varies, the certificate import process and trust store behaviour may differ per device type and each should be validated.
2. What is the exact mechanism of the certificate import process — is it a script, a manual file copy, an MDM-pushed profile, or a platform-native tool? This affects how import failure scenarios are tested.
3. Is certificate pinning used anywhere in the POS platform or loyalty integration client? If so, pinned values must be updated and explicitly tested.
4. What is the trust chain for the new certificate (root CA, intermediate CA)? Are the root and intermediate CAs already trusted by POS terminals and tablets, or do they also need to be imported?
5. Has the external loyalty platform vendor confirmed that the new certificate has been installed on their servers in the UAT environment zone? Testing cannot proceed meaningfully until this is confirmed.
6. Are there multiple POS or tablet environments (e.g. different store configurations, network zones) that each require separate certificate deployment and validation, or is UAT a single representative environment?
7. What content management system is used, and does updating the certificate reference require a publish/deploy step that could introduce its own failure modes?
8. Is there a rollback plan if the new certificate causes issues in production? QA should understand and potentially test the rollback procedure.
9. Does the certificate import process require a device restart or service restart to take effect? If so, this must be included in the test steps.
10. Are there any other integrations or systems (beyond the loyalty platform) that share or reference the same certificate being renewed, even indirectly?
Effort estimate: 22–35 test cases
Effort notes: Lower bound assumes a single POS terminal and single tablet are tested as representative devices, and that UAT environment zone closely mirrors production. Upper bound accounts for testing across multiple device models or OS versions if they differ, additional brand regression checks, and expanded exploratory scenarios. Effort is estimated at 1–2 days for a small QA team of 2 testers, assuming UAT environment and vendor certificate installation are ready before testing begins.</x:v>
      </x:c>
      <x:c r="E65" s="21" t="str">
        <x:v>Scorable</x:v>
      </x:c>
      <x:c r="F65" s="28" t="n">
        <x:v>5</x:v>
      </x:c>
      <x:c r="G65" s="28" t="n">
        <x:v>5</x:v>
      </x:c>
      <x:c r="H65" s="28" t="n">
        <x:v>1</x:v>
      </x:c>
      <x:c r="I65" s="28" t="n">
        <x:v>4</x:v>
      </x:c>
      <x:c r="J65" s="28" t="n">
        <x:v>4</x:v>
      </x:c>
      <x:c r="K65" s="28" t="n">
        <x:f>IF(E65&lt;&gt;"Scorable","",IF(COUNT(F65:J65)=5,SUM(F65:J65),""))</x:f>
        <x:v>19</x:v>
      </x:c>
      <x:c r="L65" s="24" t="str">
        <x:v>Completeness 5: essentially all material consensus expectations are covered at this dimension; Specificity 5: essentially all material consensus expectations are covered at this dimension; Risk 1: the recommendation is fundamentally inadequate for this dimension; Frozen implicit consensus elements were treated as essential where applicable.</x:v>
      </x:c>
      <x:c r="M65" s="21" t="str">
        <x:f>IF(E65&lt;&gt;"Scorable","Not scorable",IF(COUNT(F65:J65)&lt;&gt;5,"Missing scores",IF(AND(COUNTIFS(F65:J65,1)+COUNTIFS(F65:J65,2)+COUNTIFS(F65:J65,5)&gt;0,L65=""),"Missing rationale","Complete")))</x:f>
        <x:v>Complete</x:v>
      </x:c>
    </x:row>
    <x:row r="66" ht="180" customHeight="1">
      <x:c r="A66" s="21" t="str">
        <x:v>RATE-32D5E200C161</x:v>
      </x:c>
      <x:c r="B66" s="21" t="str">
        <x:v>SPEC-17</x:v>
      </x:c>
      <x:c r="C66"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66" s="21" t="str">
        <x:v>Coverage depth: MEDIUM
Depth justification: This is an infrastructure and security configuration change rather than a new feature or major version upgrade, but it directly touches Windows Defender AV policy on POS terminals — systems with high availability and payment security requirements. The risk of misconfigured exclusions (too broad, not persisting, or disabling AV protection) justifies medium-high rigour. The change is scoped to a script deployment, limiting functional breadth, but the security and operational sensitivity of POS environments elevates the required depth above a simple LOW patch fix.
Functional tests:
1. Execute the antivirus exclusion script on a lab POS terminal and verify that all intended Windows Defender exclusion paths, processes, and/or extensions are correctly registered under Windows Defender exclusion settings post-execution
2. Verify that after script execution, the remote tunneling tool can be launched without Windows Defender flagging, quarantining, or blocking it
3. Confirm that a remote support session can be successfully initiated and maintained through the tunneling tool on a POS terminal where the exclusion script has been applied
4. Verify that the exclusion script completes without runtime errors, non-zero exit codes, or Windows Event Log error entries attributable to the script
5. Confirm that the exclusion entries added by the script match exactly the intended scope (correct file paths, process names, or folder paths) and do not apply broader exclusions than specified
6. Verify that the script does not modify, remove, or alter any pre-existing Windows Defender exclusions on the terminal
7. Execute the script on a terminal where the tunneling tool is not yet installed and verify the script completes without error and exclusions are still registered correctly
8. Execute the script on a terminal where the tunneling tool is already installed and running and verify the script completes without disrupting the active process
Smoke tests:
1. After script execution, confirm the POS application launches and reaches a transaction-ready state without errors
2. Process a basic sale transaction end-to-end on a POS terminal post-script execution to confirm core trading functionality is unaffected
3. Verify Windows Defender real-time protection remains enabled and has not been disabled as a side-effect of the script
4. Confirm the terminal can reach its expected network endpoints (payment gateway, back-office server) after script execution
5. Verify the terminal boots successfully and the POS application auto-starts as expected after a reboot following script execution
Regression tests:
1. Verify that Windows Defender continues to detect and flag a known benign test threat (EICAR test file) placed outside the exclusion paths, confirming AV protection is still active
2. Confirm that payment card processing (including chip, swipe, and contactless where applicable) functions correctly post-script execution
3. Verify that receipt printing, cash drawer operation, and peripheral device communication are unaffected after script execution
4. Confirm that end-of-day reporting and till reconciliation processes complete successfully on a terminal where the script has been applied
5. Verify that scheduled Windows Defender scans still execute on their configured schedule and complete without errors after exclusions are applied
6. Confirm that existing remote management or monitoring agents (other than the tunneling tool) continue to operate normally post-script execution
7. Verify that Windows Defender exclusion settings persist correctly after a terminal reboot and are not reset to a pre-script state
8. Confirm that user account permissions and POS operator login flows are unaffected by the script execution
Integration tests:
1. Initiate a full remote support session via the tunneling tool from a support workstation to a lab POS terminal post-script execution and verify bidirectional connectivity, screen sharing, and command execution work as expected
2. Verify that the remote management platform (server or console side) correctly identifies the POS terminal as reachable and does not report the tunneling tool as blocked or unhealthy after script execution
3. Confirm that POS transaction data continues to flow correctly to the back-office or head-office system during and after a remote session conducted via the tunneling tool
4. Verify that any centralised antivirus management console (e.g., Microsoft Endpoint Manager / Intune / SCCM) correctly reflects the updated exclusion configuration on the terminal and does not flag it as non-compliant
5. Confirm that the script can be delivered and executed successfully via the remote management tooling itself (if that is the intended deployment mechanism) without requiring local physical access
Exploratory tests:
1. Investigate whether the exclusion script, if executed multiple times on the same terminal, creates duplicate exclusion entries or causes any unintended configuration drift
2. Probe whether the exclusion paths are version-specific and test what happens when the tunneling tool is updated to a newer version — does the exclusion become invalid and does Defender re-flag the tool
3. Attempt to initiate a remote session during an active POS transaction and observe whether the tunneling tool or the session causes any transaction interruption, latency, or data integrity issue
4. Examine Windows Event Logs and Defender operational logs immediately after script execution for any warnings, suppressed detections, or anomalous entries that may not surface as visible errors
5. Test script execution under a restricted POS operator account (non-admin) to determine whether privilege escalation is handled correctly or whether the script silently fails
6. Explore whether the exclusion configuration survives a Windows Update or Defender definition update that occurs after the script has been applied
7. Test the scenario where Windows Defender has a pending quarantine action on the tunneling tool at the time the script is executed and verify the tool is correctly restored or requires manual remediation
Clarification flags:
1. What specific exclusion types does the script add — file paths, folder paths, process names, file extensions, or a combination? This determines whether exclusion verification tests can be precisely scoped.
2. What is the exact version of the remote tunneling tool being excluded, and is the exclusion version-locked or path-based? This affects regression risk when the tool is updated in future.
3. What is the intended deployment mechanism for the script — manual execution, remote push via the management platform, SCCM/Intune policy, or another method? The delivery method must itself be tested.
4. What Windows versions and Defender definition versions are present across the affected POS terminal estate? Behaviour may differ across OS patch levels.
5. Is there a centralised antivirus management console (e.g., Microsoft Endpoint Manager, Intune, or a third-party AV platform) that governs Defender policy? If so, could a policy refresh overwrite the exclusions added by the script?
6. What POS application and version is running on the affected terminals? This is needed to scope regression testing of POS-specific functionality.
7. Are there any payment security or PCI-DSS compliance requirements that govern what antivirus exclusions are permissible? A security or compliance review finding could invalidate the approach entirely.
8. Has the tunneling tool itself been security-reviewed and approved for use in the POS environment, or is this exclusion being added to unblock an unapproved tool pending review?
9. What is the rollback procedure if the script causes unintended behaviour — is there a corresponding script to remove the exclusions, and has it been tested?
10. Are there any terminals that use a third-party antivirus product instead of Windows Defender, and does the script need to handle those cases or are they explicitly out of scope?
Effort estimate: 28–42 test cases
Effort notes: Estimate assumes a small QA team testing across 2–3 lab terminal configurations. The lower bound reflects a single OS/hardware configuration; the upper bound accounts for testing across multiple terminal models, OS patch levels, or Defender definition versions if required. Exploratory sessions should be timeboxed to approximately 30–45 minutes each. Physical or remote lab access to POS terminals will be a scheduling dependency. If multiple store network environments must be simulated, effort will increase accordingly.</x:v>
      </x:c>
      <x:c r="E66" s="21" t="str">
        <x:v>Scorable</x:v>
      </x:c>
      <x:c r="F66" s="28" t="n">
        <x:v>5</x:v>
      </x:c>
      <x:c r="G66" s="28" t="n">
        <x:v>5</x:v>
      </x:c>
      <x:c r="H66" s="28" t="n">
        <x:v>3</x:v>
      </x:c>
      <x:c r="I66" s="28" t="n">
        <x:v>5</x:v>
      </x:c>
      <x:c r="J66" s="28" t="n">
        <x:v>5</x:v>
      </x:c>
      <x:c r="K66" s="28" t="n">
        <x:f>IF(E66&lt;&gt;"Scorable","",IF(COUNT(F66:J66)=5,SUM(F66:J66),""))</x:f>
        <x:v>23</x:v>
      </x:c>
      <x:c r="L66"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Clarification 5: material consensus ambiguities are directly and actionably addressed; Frozen implicit consensus elements were treated as essential where applicable.</x:v>
      </x:c>
      <x:c r="M66" s="21" t="str">
        <x:f>IF(E66&lt;&gt;"Scorable","Not scorable",IF(COUNT(F66:J66)&lt;&gt;5,"Missing scores",IF(AND(COUNTIFS(F66:J66,1)+COUNTIFS(F66:J66,2)+COUNTIFS(F66:J66,5)&gt;0,L66=""),"Missing rationale","Complete")))</x:f>
        <x:v>Complete</x:v>
      </x:c>
    </x:row>
    <x:row r="67" ht="180" customHeight="1">
      <x:c r="A67" s="21" t="str">
        <x:v>RATE-6A3FA5E948C4</x:v>
      </x:c>
      <x:c r="B67" s="21" t="str">
        <x:v>SPEC-19</x:v>
      </x:c>
      <x:c r="C67"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67" s="21" t="str">
        <x:v>Coverage depth: HIGH
Depth justification: Broad system regression testing required due to potential impact on all network-dependent functions
Functional tests:
1. Verify payment device connectivity with new secondary DNS provider
2. Test Wi-Fi network connectivity and remote management tool functions
3. Validate kitchen display system order routing and order storing and picking
4. Confirm digital menu board and price change functionality
5. Test delivery platform integrations and online ordering platform orders
6. Verify gift card and loyalty processing in offline mode
7. Validate database reload and refresh
8. Test reporting and analytics
9. Verify employee creation workflows
10. Test sales performance notification tools
11. Validate third-party order alert integrations
Smoke tests:
1. Verify system availability and basic functionality after DNS provider change
2. Test network connectivity and DNS resolution
Regression tests:
1. Re-run existing regression test suites for payment processing, online ordering, delivery integrations, loyalty, reporting, and employee management
2. Test network-dependent functions for each integrated area
Integration tests:
1. Test integration with payment gateways and payment devices
2. Verify integration with online ordering platforms and delivery integrations
3. Test integration with loyalty and gift card systems
4. Validate integration with reporting and analytics tools
Exploratory tests:
1. Explore system behavior under various network conditions (e.g., high latency, packet loss)
2. Test system recovery after DNS resolution failures
Clarification flags:
1. Confirmation of primary DNS provider configuration and potential impact on system functionality
2. Details on Google Public DNS configuration and any specific requirements or restrictions
Effort estimate: 50–100 test cases
Effort notes: Estimate based on the number of integrated areas and network-dependent functions to be tested</x:v>
      </x:c>
      <x:c r="E67" s="21" t="str">
        <x:v>Scorable</x:v>
      </x:c>
      <x:c r="F67" s="28" t="n">
        <x:v>3</x:v>
      </x:c>
      <x:c r="G67" s="28" t="n">
        <x:v>3</x:v>
      </x:c>
      <x:c r="H67" s="28" t="n">
        <x:v>4</x:v>
      </x:c>
      <x:c r="I67" s="28" t="n">
        <x:v>2</x:v>
      </x:c>
      <x:c r="J67" s="28" t="n">
        <x:v>2</x:v>
      </x:c>
      <x:c r="K67" s="28" t="n">
        <x:f>IF(E67&lt;&gt;"Scorable","",IF(COUNT(F67:J67)=5,SUM(F67:J67),""))</x:f>
        <x:v>14</x:v>
      </x:c>
      <x:c r="L67" s="24" t="str">
        <x:v>Integration 2: a critical or multiple important consensus expectations remain weak or missing; Clarification 2: a critical or multiple important consensus expectations remain weak or missing; Frozen implicit consensus elements were treated as essential where applicable.</x:v>
      </x:c>
      <x:c r="M67" s="21" t="str">
        <x:f>IF(E67&lt;&gt;"Scorable","Not scorable",IF(COUNT(F67:J67)&lt;&gt;5,"Missing scores",IF(AND(COUNTIFS(F67:J67,1)+COUNTIFS(F67:J67,2)+COUNTIFS(F67:J67,5)&gt;0,L67=""),"Missing rationale","Complete")))</x:f>
        <x:v>Complete</x:v>
      </x:c>
    </x:row>
    <x:row r="68" ht="180" customHeight="1">
      <x:c r="A68" s="21" t="str">
        <x:v>RATE-C5920E4CE094</x:v>
      </x:c>
      <x:c r="B68" s="21" t="str">
        <x:v>SPEC-03</x:v>
      </x:c>
      <x:c r="C68"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68" s="21" t="str">
        <x:v>Coverage depth: MEDIUM
Depth justification: The change involves hardware replacement, which carries moderate risk to connectivity and network-dependent systems, but does not introduce new features or major software changes.
Functional tests:
1. Verify connectivity of management devices on the staff/management network using the new Wi-Fi 7 access point.
2. Verify connectivity of brand-approved devices on the brand-approved device network using the new Wi-Fi 7 access point.
3. Verify connectivity of line-busting tablets on the POS/line-busting network using the new Wi-Fi 7 access point.
4. Verify connectivity of guest devices on the guest network using the new Wi-Fi 7 access point.
5. Validate that devices can seamlessly roam between multiple Wi-Fi 7 access points without connectivity drops.
Smoke tests:
1. Ensure basic internet connectivity is functional on all networks (staff/management, brand-approved devices, POS/line-busting, guest) using the new Wi-Fi 7 access point.
2. Verify that devices can connect to the correct SSID for each network type.
3. Test that devices are assigned correct IP addresses via DHCP on all networks.
Regression tests:
1. Verify that POS terminals can process transactions without delays or connectivity issues on the POS/line-busting network.
2. Ensure that line-busting tablets can sync sales data to the backend systems.
3. Validate that management devices can access internal tools and resources on the staff/management network.
4. Confirm that guest devices are isolated from internal networks and can only access the internet.
5. Test that network performance metrics (e.g., latency, throughput) are consistent with the previous Wi-Fi 6 hardware.
Integration tests:
1. Perform end-to-end testing of a POS transaction from a line-busting tablet connected to the POS/line-busting network, ensuring data flows correctly to the backend.
2. Test integration of management devices with internal systems (e.g., reporting tools, inventory systems) over the staff/management network.
3. Validate that guest network traffic is routed correctly through the guest network VLAN and does not interfere with internal networks.
Exploratory tests:
1. Test connectivity under high device density scenarios to evaluate performance and stability of the new Wi-Fi 7 access point.
2. Simulate a network failover scenario to ensure devices reconnect seamlessly to a secondary network template.
3. Test edge cases such as devices with older Wi-Fi standards (e.g., Wi-Fi 4 or 5) connecting to the new Wi-Fi 7 access point.
4. Probe for any unexpected latency spikes or packet loss during sustained high traffic on the POS/line-busting network.
5. Test the impact of environmental factors (e.g., interference from other devices) on the new Wi-Fi 7 hardware.
Clarification flags:
1. Are there any specific performance benchmarks (e.g., latency, throughput) that the new Wi-Fi 7 hardware must meet?
2. Should testing include scenarios with mixed Wi-Fi 6 and Wi-Fi 7 access points in the same environment?
3. Are there any specific security configurations or policies that need validation on the new hardware?
4. Is there a fallback plan if the new Wi-Fi 7 hardware fails during testing or deployment?
Effort estimate: 15–25 test cases
Effort notes: Effort includes testing across multiple network types and devices, with additional exploratory testing for edge cases and performance validation.</x:v>
      </x:c>
      <x:c r="E68" s="21" t="str">
        <x:v>Scorable</x:v>
      </x:c>
      <x:c r="F68" s="28" t="n">
        <x:v>4</x:v>
      </x:c>
      <x:c r="G68" s="28" t="n">
        <x:v>4</x:v>
      </x:c>
      <x:c r="H68" s="28" t="n">
        <x:v>2</x:v>
      </x:c>
      <x:c r="I68" s="28" t="n">
        <x:v>4</x:v>
      </x:c>
      <x:c r="J68" s="28" t="n">
        <x:v>4</x:v>
      </x:c>
      <x:c r="K68" s="28" t="n">
        <x:f>IF(E68&lt;&gt;"Scorable","",IF(COUNT(F68:J68)=5,SUM(F68:J68),""))</x:f>
        <x:v>18</x:v>
      </x:c>
      <x:c r="L68" s="24" t="str">
        <x:v>Risk 2: a critical or multiple important consensus expectations remain weak or missing; Frozen implicit consensus elements were treated as essential where applicable.</x:v>
      </x:c>
      <x:c r="M68" s="21" t="str">
        <x:f>IF(E68&lt;&gt;"Scorable","Not scorable",IF(COUNT(F68:J68)&lt;&gt;5,"Missing scores",IF(AND(COUNTIFS(F68:J68,1)+COUNTIFS(F68:J68,2)+COUNTIFS(F68:J68,5)&gt;0,L68=""),"Missing rationale","Complete")))</x:f>
        <x:v>Complete</x:v>
      </x:c>
    </x:row>
    <x:row r="69" ht="180" customHeight="1">
      <x:c r="A69" s="21" t="str">
        <x:v>RATE-F7EE3A91E05A</x:v>
      </x:c>
      <x:c r="B69" s="21" t="str">
        <x:v>SPEC-06</x:v>
      </x:c>
      <x:c r="C69"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69" s="21" t="str">
        <x:v>Coverage depth: HIGH
Depth justification: The change introduces new scheduling logic that directly impacts core functionality, has a broad regression surface, and involves integration with critical POS systems.
Functional tests:
1. Verify that a user can configure a start date, end date, start time, and end time for a menu item availability schedule.
2. Verify that the app correctly applies the defined time window daily between the start date and end date.
3. Verify that the app does not allow overlapping time windows for the same menu item.
4. Verify that the app prevents invalid configurations, such as an end date earlier than the start date or an end time earlier than the start time.
5. Verify that the app correctly saves and displays the configured schedule after submission.
Smoke tests:
1. Verify that the app launches successfully in POS platform version 18.x and 19.x.
2. Verify that the menu item availability feature is accessible and does not crash the app.
3. Verify that a basic schedule can be created and saved without errors.
Regression tests:
1. Verify that existing schedules configured in the previous version (single datetime range) are still functional and correctly interpreted in the new version.
2. Verify that menu item availability outside the configured time windows remains unaffected.
3. Verify that other unrelated app features, such as menu item pricing or inventory updates, are not impacted by the scheduling changes.
Integration tests:
1. Verify that the app correctly syncs the configured schedule with the POS system in both version 18.x and 19.x.
2. Verify that the app handles time zone differences correctly when syncing schedules with the POS system.
3. Verify that the app integrates correctly with the store's reporting system to reflect menu item availability changes.
Exploratory tests:
1. Test the behavior when the start date is set to the current date and the start time is in the past.
2. Test the behavior when the end date is set far into the future (e.g., 10 years).
3. Test the app's behavior when rapidly creating, editing, and deleting schedules in succession.
4. Test the app's behavior when the device's system time is manually changed during an active schedule.
5. Test the app's behavior with edge-case time windows, such as 11:59 PM to 12:01 AM.
Clarification flags:
1. Details on how existing schedules (single datetime range) are migrated or interpreted in the new version.
2. Confirmation of time zone handling for scheduling and syncing with the POS system.
3. Clarification on whether the app supports schedules spanning midnight (e.g., 10:00 PM to 2:00 AM).
4. Confirmation of the expected behavior when the end date is omitted or left blank.
Effort estimate: 15–25 test cases
Effort notes: Effort includes testing across two POS platform versions and exploratory scenarios for edge cases.</x:v>
      </x:c>
      <x:c r="E69" s="21" t="str">
        <x:v>Scorable</x:v>
      </x:c>
      <x:c r="F69" s="28" t="n">
        <x:v>5</x:v>
      </x:c>
      <x:c r="G69" s="28" t="n">
        <x:v>4</x:v>
      </x:c>
      <x:c r="H69" s="28" t="n">
        <x:v>4</x:v>
      </x:c>
      <x:c r="I69" s="28" t="n">
        <x:v>4</x:v>
      </x:c>
      <x:c r="J69" s="28" t="n">
        <x:v>3</x:v>
      </x:c>
      <x:c r="K69" s="28" t="n">
        <x:f>IF(E69&lt;&gt;"Scorable","",IF(COUNT(F69:J69)=5,SUM(F69:J69),""))</x:f>
        <x:v>20</x:v>
      </x:c>
      <x:c r="L69" s="24" t="str">
        <x:v>Completeness 5: essentially all material consensus expectations are covered at this dimension; Frozen implicit consensus elements were treated as essential where applicable.</x:v>
      </x:c>
      <x:c r="M69" s="21" t="str">
        <x:f>IF(E69&lt;&gt;"Scorable","Not scorable",IF(COUNT(F69:J69)&lt;&gt;5,"Missing scores",IF(AND(COUNTIFS(F69:J69,1)+COUNTIFS(F69:J69,2)+COUNTIFS(F69:J69,5)&gt;0,L69=""),"Missing rationale","Complete")))</x:f>
        <x:v>Complete</x:v>
      </x:c>
    </x:row>
    <x:row r="70" ht="180" customHeight="1">
      <x:c r="A70" s="21" t="str">
        <x:v>RATE-D83B9429E1B1</x:v>
      </x:c>
      <x:c r="B70" s="21" t="str">
        <x:v>SPEC-10</x:v>
      </x:c>
      <x:c r="C70"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70" s="21" t="str">
        <x:v>Coverage depth: LOW
Depth justification: Certificate rotation is a routine infrastructure change with minimal risk of introducing new functionality or affecting adjacent areas
Functional tests:
1. Verify successful certificate import on POS terminals and tablets
2. Confirm POS platform recognizes and uses new certificates based on content management settings
3. Test secure communication between POS terminals/tablets and loyalty platform with new certificates
4. Validate certificate expiration dates and ensure they are updated correctly
Smoke tests:
1. Check for any unexpected errors or warnings during certificate import process
2. Verify that existing functionality on POS terminals and tablets remains unaffected by certificate renewal
3. Confirm that content management settings are correctly applied after certificate update
Regression tests:
1. Test loyalty platform integration functionality to ensure no regressions in existing workflows
2. Verify that other brand integrations are not affected by the certificate renewal for the specified brand
3. Confirm that certificate renewal does not impact other security or infrastructure components
Integration tests:
1. End-to-end testing of loyalty platform integration with new certificates, covering user authentication and data exchange
2. Verify that external loyalty platform vendor's installation of new certificates does not introduce any compatibility issues
Exploratory tests:
1. Test certificate import process with different types of certificates or certificate chains
2. Explore the impact of certificate renewal on POS terminal and tablet performance
Clarification flags:
1. Confirmation of the exact certificate import process and tools used on POS terminals and tablets
2. Details on how the content management settings reference the new certificates
3. Information on any specific testing requirements or constraints from the external loyalty platform vendor
Effort estimate: 15–30 test cases
Effort notes: Effort is relatively low due to the focused nature of the change, but requires careful testing of security and integration aspects</x:v>
      </x:c>
      <x:c r="E70" s="21" t="str">
        <x:v>Scorable</x:v>
      </x:c>
      <x:c r="F70" s="28" t="n">
        <x:v>2</x:v>
      </x:c>
      <x:c r="G70" s="28" t="n">
        <x:v>3</x:v>
      </x:c>
      <x:c r="H70" s="28" t="n">
        <x:v>1</x:v>
      </x:c>
      <x:c r="I70" s="28" t="n">
        <x:v>2</x:v>
      </x:c>
      <x:c r="J70" s="28" t="n">
        <x:v>3</x:v>
      </x:c>
      <x:c r="K70" s="28" t="n">
        <x:f>IF(E70&lt;&gt;"Scorable","",IF(COUNT(F70:J70)=5,SUM(F70:J70),""))</x:f>
        <x:v>11</x:v>
      </x:c>
      <x:c r="L70" s="24" t="str">
        <x:v>Completeness 2: a critical or multiple important consensus expectations remain weak or missing; Risk 1: the recommendation is fundamentally inadequate for this dimension; Integration 2: a critical or multiple important consensus expectations remain weak or missing; Frozen implicit consensus elements were treated as essential where applicable.</x:v>
      </x:c>
      <x:c r="M70" s="21" t="str">
        <x:f>IF(E70&lt;&gt;"Scorable","Not scorable",IF(COUNT(F70:J70)&lt;&gt;5,"Missing scores",IF(AND(COUNTIFS(F70:J70,1)+COUNTIFS(F70:J70,2)+COUNTIFS(F70:J70,5)&gt;0,L70=""),"Missing rationale","Complete")))</x:f>
        <x:v>Complete</x:v>
      </x:c>
    </x:row>
    <x:row r="71" ht="180" customHeight="1">
      <x:c r="A71" s="21" t="str">
        <x:v>RATE-1B54AA5627C2</x:v>
      </x:c>
      <x:c r="B71" s="21" t="str">
        <x:v>SPEC-11</x:v>
      </x:c>
      <x:c r="C71"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71" s="21" t="str">
        <x:v>Coverage depth: HIGH
Depth justification: The feature involves critical pricing behavior that directly impacts customer trust and business decisions. Thorough testing is required to ensure no discrepancies.
Functional tests:
1. Verify that the price of items in the advance order remains locked at the time of ordering, regardless of subsequent price changes.
2. Validate that the mobile app correctly sends the locked-in prices to the POS system during order fulfillment.
3. Ensure that the payment amount matches the locked-in prices and does not reflect any price changes.
Smoke tests:
1. Confirm that an advance order can be placed successfully with a future pickup time.
2. Verify that the POS system receives the order without errors.
Regression tests:
1. Test that other pricing scenarios (e.g., immediate orders, orders without price changes) are not impacted by this feature.
2. Ensure that the mobile app continues to function correctly for other order types and scenarios.
Integration tests:
1. Test the interaction between the mobile app and the pricing engine to ensure price locking is applied correctly.
2. Validate the data flow between the mobile app and the POS system to confirm the locked-in prices are transmitted accurately.
Exploratory tests:
1. Simulate edge cases where multiple price changes occur for the same item before fulfillment and verify the locked-in price behavior.
2. Test scenarios where the order contains a mix of items with and without price changes.
3. Explore the behavior when the system experiences a delay in updating the price changes before the order is fulfilled.
Clarification flags:
1. What happens if the price change occurs after the order is sent to the POS but before fulfillment?
2. Are there any specific error-handling requirements if the pricing engine fails to lock the price?
3. Should the locked-in price be displayed to the customer in the app during order review or fulfillment?
Effort estimate: 15–25 test cases
Effort notes: Effort includes functional, integration, and exploratory testing to cover all edge cases and system interactions.</x:v>
      </x:c>
      <x:c r="E71" s="21" t="str">
        <x:v>Scorable</x:v>
      </x:c>
      <x:c r="F71" s="28" t="n">
        <x:v>3</x:v>
      </x:c>
      <x:c r="G71" s="28" t="n">
        <x:v>3</x:v>
      </x:c>
      <x:c r="H71" s="28" t="n">
        <x:v>4</x:v>
      </x:c>
      <x:c r="I71" s="28" t="n">
        <x:v>4</x:v>
      </x:c>
      <x:c r="J71" s="28" t="n">
        <x:v>2</x:v>
      </x:c>
      <x:c r="K71" s="28" t="n">
        <x:f>IF(E71&lt;&gt;"Scorable","",IF(COUNT(F71:J71)=5,SUM(F71:J71),""))</x:f>
        <x:v>16</x:v>
      </x:c>
      <x:c r="L71" s="24" t="str">
        <x:v>Clarification 2: a critical or multiple important consensus expectations remain weak or missing; Frozen implicit consensus elements were treated as essential where applicable.</x:v>
      </x:c>
      <x:c r="M71" s="21" t="str">
        <x:f>IF(E71&lt;&gt;"Scorable","Not scorable",IF(COUNT(F71:J71)&lt;&gt;5,"Missing scores",IF(AND(COUNTIFS(F71:J71,1)+COUNTIFS(F71:J71,2)+COUNTIFS(F71:J71,5)&gt;0,L71=""),"Missing rationale","Complete")))</x:f>
        <x:v>Complete</x:v>
      </x:c>
    </x:row>
    <x:row r="72" ht="180" customHeight="1">
      <x:c r="A72" s="21" t="str">
        <x:v>RATE-A837DB083AF7</x:v>
      </x:c>
      <x:c r="B72" s="21" t="str">
        <x:v>SPEC-12</x:v>
      </x:c>
      <x:c r="C72"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72" s="21" t="str">
        <x:v>Coverage depth: MEDIUM
Depth justification: The change is limited to a report layout modification, but it may still impact the usability and readability of the report, affecting user and business impact.
Functional tests:
1. Verify the Third-Party Delivery Partner detailed sales data section is now located at the bottom of the Property Financial Report, below the Rewards section
2. Confirm the summary-level delivery sales in the Order Type section remain unchanged and display correctly
3. Check the Tender Media, Group Sales, Discounts, and Service Charges sections are now more visible and appear before the relocated Third-Party Delivery Partner section
Smoke tests:
1. Generate a Property Financial Report and verify it renders without errors
2. Confirm the report layout change does not affect the report's ability to print or export
Regression tests:
1. Verify other sections of the Property Financial Report (e.g., Order Type, Rewards) are unaffected by the layout change
2. Confirm the report still correctly displays data for different properties and date ranges
Integration tests:
1. Verify data integration with third-party delivery partners is unaffected by the report layout change
2. Confirm the report still correctly displays sales data from various sources (e.g., online orders, in-store sales)
Exploratory tests:
1. Test the report with different data sets to ensure the relocated section does not cause formatting issues
2. Verify the report layout change does not introduce any issues with report filtering or sorting
Clarification flags:
1. Confirmation of the exact requirements for report printing and exporting
2. Details on any specific data or formatting requirements for the Third-Party Delivery Partner section
3. Information on any potential impact on report customization or configuration options
Effort estimate: 10–20 test cases
Effort notes: The estimate assumes a small QA team and a relatively simple report layout change, with some potential for exploratory testing to uncover edge cases.</x:v>
      </x:c>
      <x:c r="E72" s="21" t="str">
        <x:v>Scorable</x:v>
      </x:c>
      <x:c r="F72" s="28" t="n">
        <x:v>3</x:v>
      </x:c>
      <x:c r="G72" s="28" t="n">
        <x:v>3</x:v>
      </x:c>
      <x:c r="H72" s="28" t="n">
        <x:v>3</x:v>
      </x:c>
      <x:c r="I72" s="28" t="n">
        <x:v>2</x:v>
      </x:c>
      <x:c r="J72" s="28" t="n">
        <x:v>3</x:v>
      </x:c>
      <x:c r="K72" s="28" t="n">
        <x:f>IF(E72&lt;&gt;"Scorable","",IF(COUNT(F72:J72)=5,SUM(F72:J72),""))</x:f>
        <x:v>14</x:v>
      </x:c>
      <x:c r="L72" s="24" t="str">
        <x:v>Integration 2: a critical or multiple important consensus expectations remain weak or missing; Frozen implicit consensus elements were treated as essential where applicable.</x:v>
      </x:c>
      <x:c r="M72" s="21" t="str">
        <x:f>IF(E72&lt;&gt;"Scorable","Not scorable",IF(COUNT(F72:J72)&lt;&gt;5,"Missing scores",IF(AND(COUNTIFS(F72:J72,1)+COUNTIFS(F72:J72,2)+COUNTIFS(F72:J72,5)&gt;0,L72=""),"Missing rationale","Complete")))</x:f>
        <x:v>Complete</x:v>
      </x:c>
    </x:row>
    <x:row r="73" ht="180" customHeight="1">
      <x:c r="A73" s="21" t="str">
        <x:v>RATE-CF000BE758A9</x:v>
      </x:c>
      <x:c r="B73" s="21" t="str">
        <x:v>SPEC-01</x:v>
      </x:c>
      <x:c r="C73"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73" s="21" t="str">
        <x:v>Terminal invalid JSON. This observation is retained as a structural failure and receives no rubric score.</x:v>
      </x:c>
      <x:c r="E73" s="21" t="str">
        <x:v>Not scorable — terminal invalid JSON</x:v>
      </x:c>
      <x:c r="F73" s="29"/>
      <x:c r="G73" s="29"/>
      <x:c r="H73" s="29"/>
      <x:c r="I73" s="29"/>
      <x:c r="J73" s="29"/>
      <x:c r="K73" s="29" t="str">
        <x:f>IF(E73&lt;&gt;"Scorable","",IF(COUNT(F73:J73)=5,SUM(F73:J73),""))</x:f>
      </x:c>
      <x:c r="L73" s="26"/>
      <x:c r="M73" s="21" t="str">
        <x:f>IF(E73&lt;&gt;"Scorable","Not scorable",IF(COUNT(F73:J73)&lt;&gt;5,"Missing scores",IF(AND(COUNTIFS(F73:J73,1)+COUNTIFS(F73:J73,2)+COUNTIFS(F73:J73,5)&gt;0,L73=""),"Missing rationale","Complete")))</x:f>
        <x:v>Not scorable</x:v>
      </x:c>
    </x:row>
    <x:row r="74" ht="180" customHeight="1">
      <x:c r="A74" s="21" t="str">
        <x:v>RATE-9173393B31AF</x:v>
      </x:c>
      <x:c r="B74" s="21" t="str">
        <x:v>SPEC-12</x:v>
      </x:c>
      <x:c r="C74"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74" s="21" t="str">
        <x:v>Coverage depth: HIGH
Depth justification: This change affects a financial report used by franchisees and accountants for business-critical decisions. Although the change is a layout reorder, the risk of data misalignment, incorrect totals, or broken cross-references between the Order Type summary and the relocated detail section warrants thorough coverage. Financial accuracy and auditability demand high confidence.
Functional tests:
1. Verify the Third-Party Delivery Partner detail section now appears at the bottom of the report, below the Rewards section
2. Verify the Third-Party Delivery Partner detail section no longer appears under the Order Type section in its original position
3. Verify the Order Type section still displays correct summary-level delivery sales totals after the layout change
4. Verify the Rewards section appears immediately above the Third-Party Delivery Partner detail section in the new layout
5. Verify the Tender Media section appears in the correct position (above Third-Party Delivery Partner detail, no longer pushed down by it)
6. Verify the Group Sales section appears in the correct position relative to the new layout
7. Verify the Discounts section appears in the correct position relative to the new layout
8. Verify the Service Charges section appears in the correct position relative to the new layout
9. Verify all data values within the Third-Party Delivery Partner detail section are accurate and unchanged after relocation
10. Verify the overall report section order matches the specified sequence: Order Type → [other sections] → Rewards → Third-Party Delivery Partner Detail
11. Verify the report renders correctly when there is no Third-Party Delivery Partner data (empty/null state)
12. Verify the report renders correctly when Third-Party Delivery Partner data is present for multiple delivery partners
13. Verify page breaks and pagination are handled correctly with the new section order
14. Verify report totals and subtotals are not affected by the section reordering
15. Verify the Third-Party Delivery Partner detail section header and formatting are preserved after relocation
Smoke tests:
1. Generate a Property Financial Report and confirm the Third-Party Delivery Partner detail section appears at the bottom, below the Rewards section
2. Confirm the Order Type section still displays and shows delivery sales summary data
3. Confirm the report generates without errors or exceptions after the layout change
Regression tests:
1. Verify all other sections of the Property Financial Report (Order Type, Tender Media, Group Sales, Discounts, Service Charges, Rewards) retain their correct data values
2. Verify the summary-level delivery sales figures in the Order Type section match the detail figures in the relocated Third-Party Delivery Partner section
3. Verify report generation completes successfully for multiple properties with varying data sets
4. Verify the report output is consistent across different date ranges (daily, weekly, monthly)
5. Verify previously saved or scheduled report configurations still produce a valid report
6. Verify the report layout is consistent when printed vs. viewed on screen (if applicable)
7. Verify no data from the Third-Party Delivery Partner section bleeds into or duplicates data in adjacent sections
8. Verify the report functions correctly for properties with zero delivery partner transactions
9. Verify the report functions correctly for properties with a single delivery partner
10. Verify the report functions correctly for properties with multiple delivery partners
Integration tests:
1. Verify the data pipeline feeding the Third-Party Delivery Partner detail section continues to supply correct data after the layout change
2. Verify the Order Type section data source still correctly aggregates delivery sales independently of the detail section's position
3. Verify any downstream systems or exports (PDF, CSV, Excel) that consume the Property Financial Report reflect the new section order
4. Verify scheduled report delivery (email, SFTP, etc.) produces the report with the updated layout
5. Verify the report rendering engine correctly interprets the new section order configuration without conflicts
6. Verify integration with the property management or POS system still populates all sections with accurate data
Exploratory tests:
1. Explore the report with unusually large Third-Party Delivery Partner datasets to check for layout overflow or truncation at the bottom of the report
2. Explore the report with a property that has extensive Rewards section data immediately preceding the relocated section to check for formatting issues
3. Explore edge cases where a franchisee runs the report for a period with mixed presence/absence of delivery partner data across sub-periods
4. Explore the report on different output formats (print preview, PDF export, screen) to identify any format-specific rendering anomalies
5. Explore whether any user-facing labels, tooltips, or help documentation reference the old section position and need updating
6. Explore the report behavior when filters or parameters are applied that exclude delivery partner data, ensuring the bottom section handles gracefully
7. Explore whether the section reordering affects any bookmarks, hyperlinks, or table-of-contents entries if the report includes navigation aids
Clarification flags:
1. Are there multiple variants of the Property Financial Report (e.g., by region, brand, or franchise tier) that all need the layout change applied and tested independently?
2. Does the report include a table of contents, section index, or navigation bookmarks that reference section positions and would need updating?
3. Are there any exported formats (PDF, Excel, CSV) or third-party integrations that parse the report by section position or label that could break due to reordering?
4. What is the exact full section order of the report before and after the change? The spec describes relative positions but does not enumerate all sections explicitly.
5. Are scheduled or saved reports regenerated automatically, or do franchisees need to manually re-run them to see the new layout?
6. Is there any user documentation, training material, or in-app help that references the old location of the Third-Party Delivery Partner detail section that must be updated?
7. Does the change apply to historical report regeneration, or only to reports generated after the deployment date?
8. Are there role-based access or permission differences that affect which users see the Third-Party Delivery Partner detail section, and should those be retested?
Effort estimate: 28–45 test cases
Effort notes: Estimate accounts for data variation across properties (single vs. multiple delivery partners, zero-data scenarios), output format variations (screen, PDF, print), and regression coverage of all affected sections. Upper bound increases if multiple report variants or export formats exist that each require independent validation.</x:v>
      </x:c>
      <x:c r="E74" s="21" t="str">
        <x:v>Scorable</x:v>
      </x:c>
      <x:c r="F74" s="28" t="n">
        <x:v>5</x:v>
      </x:c>
      <x:c r="G74" s="28" t="n">
        <x:v>5</x:v>
      </x:c>
      <x:c r="H74" s="28" t="n">
        <x:v>3</x:v>
      </x:c>
      <x:c r="I74" s="28" t="n">
        <x:v>2</x:v>
      </x:c>
      <x:c r="J74" s="28" t="n">
        <x:v>4</x:v>
      </x:c>
      <x:c r="K74" s="28" t="n">
        <x:f>IF(E74&lt;&gt;"Scorable","",IF(COUNT(F74:J74)=5,SUM(F74:J74),""))</x:f>
        <x:v>19</x:v>
      </x:c>
      <x:c r="L74" s="24" t="str">
        <x:v>Completeness 5: essentially all material consensus expectations are covered at this dimension; Specificity 5: essentially all material consensus expectations are covered at this dimension; Integration 2: a critical or multiple important consensus expectations remain weak or missing; Frozen implicit consensus elements were treated as essential where applicable.</x:v>
      </x:c>
      <x:c r="M74" s="21" t="str">
        <x:f>IF(E74&lt;&gt;"Scorable","Not scorable",IF(COUNT(F74:J74)&lt;&gt;5,"Missing scores",IF(AND(COUNTIFS(F74:J74,1)+COUNTIFS(F74:J74,2)+COUNTIFS(F74:J74,5)&gt;0,L74=""),"Missing rationale","Complete")))</x:f>
        <x:v>Complete</x:v>
      </x:c>
    </x:row>
    <x:row r="75" ht="180" customHeight="1">
      <x:c r="A75" s="21" t="str">
        <x:v>RATE-DA9D27341B33</x:v>
      </x:c>
      <x:c r="B75" s="21" t="str">
        <x:v>SPEC-08</x:v>
      </x:c>
      <x:c r="C75"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75" s="21" t="str">
        <x:v>Coverage depth: MEDIUM
Depth justification: The change affects a specific security control and has a moderate impact on system behavior, but does not introduce new functionality or significantly alter existing workflows.
Functional tests:
1. Verify that the system prevents void on empty check for restricted roles (Brand A: Shift Lead standard, Shift Lead plus, Assistant Manager, Manager, Multi-Unit, Field Engineer; Brand B: Franchisee, Manager, Shift Leader) by attempting to initiate a void on an empty check and confirming an error or authorization prompt is displayed.
2. Verify that the system allows void on empty check for non-restricted roles (Brand A: Crew, Crew Plus; Brand B: Crew Member, Senior Crew Member) by successfully initiating a void on an empty check.
3. Verify that the restriction does not affect legitimate operations such as voiding individual items by attempting to void an item on a non-empty check and confirming the operation is successful.
4. Verify that the restriction does not affect transaction returns by attempting to return a transaction and confirming the operation is successful.
5. Verify that the restriction does not affect opening closed checks by attempting to open a closed check and confirming the operation is successful.
Smoke tests:
1. Verify that the system can still process transactions (e.g., sales, returns, voids) after the role-based access control change.
2. Verify that users can still log in and access the POS system with their assigned roles.
Regression tests:
1. Verify that existing role-based access control settings for other system features are not affected by the change.
2. Verify that the system still enforces authorization requirements for roles that already require authorization (Brand A: Crew, Crew Plus; Brand B: Crew Member, Senior Crew Member).
Integration tests:
1. Verify that the role-based access control change does not affect integrations with other systems, such as inventory management or reporting.
2. Verify that the change does not introduce any issues with data flows between different system components.
Exploratory tests:
1. Test the system with different combinations of roles and permissions to ensure the restriction is enforced correctly.
2. Test the system with different types of transactions (e.g., sales, returns, voids) to ensure the restriction does not affect legitimate operations.
3. Test the system with different scenarios, such as attempting to void an empty check with multiple items or attempting to void an empty check with a discount applied.
Clarification flags:
1. Confirmation of the specific error or authorization prompt displayed when attempting to void an empty check with a restricted role.
2. Details on how the system currently handles void on empty check for non-restricted roles.
3. Information on any existing automation or scripts that may be affected by the change.
Effort estimate: 15–30 test cases
Effort notes: The estimate assumes a small QA team with existing knowledge of the system and its workflows. The actual number of test cases may vary depending on the team's experience and the complexity of the testing environment.</x:v>
      </x:c>
      <x:c r="E75" s="21" t="str">
        <x:v>Scorable</x:v>
      </x:c>
      <x:c r="F75" s="28" t="n">
        <x:v>3</x:v>
      </x:c>
      <x:c r="G75" s="28" t="n">
        <x:v>3</x:v>
      </x:c>
      <x:c r="H75" s="28" t="n">
        <x:v>2</x:v>
      </x:c>
      <x:c r="I75" s="28" t="n">
        <x:v>2</x:v>
      </x:c>
      <x:c r="J75" s="28" t="n">
        <x:v>1</x:v>
      </x:c>
      <x:c r="K75" s="28" t="n">
        <x:f>IF(E75&lt;&gt;"Scorable","",IF(COUNT(F75:J75)=5,SUM(F75:J75),""))</x:f>
        <x:v>11</x:v>
      </x:c>
      <x:c r="L75" s="24" t="str">
        <x:v>Risk 2: a critical or multiple important consensus expectations remain weak or missing; Integration 2: a critical or multiple important consensus expectations remain weak or missing; Clarification 1: the recommendation is fundamentally inadequate for this dimension; Frozen implicit consensus elements were treated as essential where applicable.</x:v>
      </x:c>
      <x:c r="M75" s="21" t="str">
        <x:f>IF(E75&lt;&gt;"Scorable","Not scorable",IF(COUNT(F75:J75)&lt;&gt;5,"Missing scores",IF(AND(COUNTIFS(F75:J75,1)+COUNTIFS(F75:J75,2)+COUNTIFS(F75:J75,5)&gt;0,L75=""),"Missing rationale","Complete")))</x:f>
        <x:v>Complete</x:v>
      </x:c>
    </x:row>
    <x:row r="76" ht="180" customHeight="1">
      <x:c r="A76" s="21" t="str">
        <x:v>RATE-862AF6AB960A</x:v>
      </x:c>
      <x:c r="B76" s="21" t="str">
        <x:v>SPEC-10</x:v>
      </x:c>
      <x:c r="C76"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76" s="21" t="str">
        <x:v>Terminal invalid JSON. This observation is retained as a structural failure and receives no rubric score.</x:v>
      </x:c>
      <x:c r="E76" s="21" t="str">
        <x:v>Not scorable — terminal invalid JSON</x:v>
      </x:c>
      <x:c r="F76" s="29"/>
      <x:c r="G76" s="29"/>
      <x:c r="H76" s="29"/>
      <x:c r="I76" s="29"/>
      <x:c r="J76" s="29"/>
      <x:c r="K76" s="29" t="str">
        <x:f>IF(E76&lt;&gt;"Scorable","",IF(COUNT(F76:J76)=5,SUM(F76:J76),""))</x:f>
      </x:c>
      <x:c r="L76" s="26"/>
      <x:c r="M76" s="21" t="str">
        <x:f>IF(E76&lt;&gt;"Scorable","Not scorable",IF(COUNT(F76:J76)&lt;&gt;5,"Missing scores",IF(AND(COUNTIFS(F76:J76,1)+COUNTIFS(F76:J76,2)+COUNTIFS(F76:J76,5)&gt;0,L76=""),"Missing rationale","Complete")))</x:f>
        <x:v>Not scorable</x:v>
      </x:c>
    </x:row>
    <x:row r="77" ht="180" customHeight="1">
      <x:c r="A77" s="21" t="str">
        <x:v>RATE-D8493CBBD834</x:v>
      </x:c>
      <x:c r="B77" s="21" t="str">
        <x:v>SPEC-02</x:v>
      </x:c>
      <x:c r="C77"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77" s="21" t="str">
        <x:v>Coverage depth: LOW
Depth justification: Patch fix with a specific, well-defined change
Functional tests:
1. Test successful transaction completion after network cable reconnection for each device/POS version combination
2. Verify transaction failure with communication error when network cable is unplugged mid-transaction for each device/POS version combination
3. Validate that the payment device re-establishes connection after cable reconnection and a new transaction can be initiated for each device/POS version combination
4. Test multiple consecutive transactions after reconnection to ensure continued stability for each device/POS version combination
Smoke tests:
1. Basic transaction processing without network interruption for each device/POS version combination
2. Transaction cancellation and refund functionality for each device/POS version combination
3. Payment device discovery and initial connection establishment for each device/POS version combination
Regression tests:
1. Existing payment processing workflows (e.g., chip, contactless, magstripe) for each device/POS version combination
2. Error handling for other payment processing scenarios (e.g., invalid card, insufficient funds) for each device/POS version combination
3. POS and payment device configuration options (e.g., timeout settings, encryption) for each device/POS version combination
Integration tests:
1. End-to-end transaction flow from POS to payment terminal for each device/POS version combination
2. Integration with other system components (e.g., inventory management, customer database) for a subset of device/POS version combinations
Exploratory tests:
1. Test network cable reconnection during different phases of a transaction (e.g., authorization, settlement) for a subset of device/POS version combinations
2. Investigate the impact of multiple network cable disconnects and reconnects on payment device stability for a subset of device/POS version combinations
3. Explore the behavior when the network cable is reconnected to a different network or payment device for a subset of device/POS version combinations
Clarification flags:
1. Specific details on the payment device firmware update process and any required POS configuration changes
2. Information on any existing automated tests that cover the affected functionality
3. Definition of the 'quick chip match error' and how it is currently manifested in the system
4. Confirmation on the availability of all 6 device/POS version combinations for testing
Effort estimate: 40–60 test cases
Effort notes: Assuming 6 device/POS version combinations, with 4-6 test cases per combination for functional and smoke tests, and additional test cases for regression, integration, and exploratory testing</x:v>
      </x:c>
      <x:c r="E77" s="21" t="str">
        <x:v>Scorable</x:v>
      </x:c>
      <x:c r="F77" s="28" t="n">
        <x:v>4</x:v>
      </x:c>
      <x:c r="G77" s="28" t="n">
        <x:v>4</x:v>
      </x:c>
      <x:c r="H77" s="28" t="n">
        <x:v>1</x:v>
      </x:c>
      <x:c r="I77" s="28" t="n">
        <x:v>4</x:v>
      </x:c>
      <x:c r="J77" s="28" t="n">
        <x:v>3</x:v>
      </x:c>
      <x:c r="K77" s="28" t="n">
        <x:f>IF(E77&lt;&gt;"Scorable","",IF(COUNT(F77:J77)=5,SUM(F77:J77),""))</x:f>
        <x:v>16</x:v>
      </x:c>
      <x:c r="L77" s="24" t="str">
        <x:v>Risk 1: the recommendation is fundamentally inadequate for this dimension; Frozen implicit consensus elements were treated as essential where applicable.</x:v>
      </x:c>
      <x:c r="M77" s="21" t="str">
        <x:f>IF(E77&lt;&gt;"Scorable","Not scorable",IF(COUNT(F77:J77)&lt;&gt;5,"Missing scores",IF(AND(COUNTIFS(F77:J77,1)+COUNTIFS(F77:J77,2)+COUNTIFS(F77:J77,5)&gt;0,L77=""),"Missing rationale","Complete")))</x:f>
        <x:v>Complete</x:v>
      </x:c>
    </x:row>
    <x:row r="78" ht="180" customHeight="1">
      <x:c r="A78" s="21" t="str">
        <x:v>RATE-AECFC594F807</x:v>
      </x:c>
      <x:c r="B78" s="21" t="str">
        <x:v>SPEC-08</x:v>
      </x:c>
      <x:c r="C78"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78" s="21" t="str">
        <x:v>Coverage depth: MEDIUM
Depth justification: The change involves a configuration update to access control, which has moderate risk due to its potential to disrupt legitimate operations if misconfigured.
Functional tests:
1. Verify that roles in Brand A (Shift Lead standard, Shift Lead plus, Assistant Manager, Manager, Multi-Unit, Field Engineer) are unable to void an empty check.
2. Verify that roles in Brand B (Franchisee, Manager, Shift Leader) are unable to void an empty check.
3. Verify that roles in Brand A (Crew, Crew Plus) and Brand B (Crew Member, Senior Crew Member) continue to require authorization for voiding an empty check.
4. Verify that voiding individual items within a transaction is still permitted for all roles.
5. Verify that transaction returns can still be processed for all roles.
6. Verify that opening closed checks remains functional for all roles.
Smoke tests:
1. Verify that a basic transaction can be completed successfully for all roles.
2. Verify that voiding a non-empty check works as expected for all roles.
3. Verify that the POS system does not crash or throw errors when attempting to void an empty check.
Regression tests:
1. Verify that existing role-based access control settings for unrelated permissions (e.g., discounts, price overrides) remain unchanged.
2. Verify that the fraud prevention option bit does not affect other transaction management features such as splitting checks or applying tips.
3. Verify that the system correctly logs void attempts, including blocked attempts, in the audit trail.
Integration tests:
1. Verify that the fraud prevention option bit change is correctly reflected in the POS configuration database for both Brand A and Brand B.
2. Verify that the POS system correctly syncs the updated role permissions with the central server.
3. Verify that any third-party reporting tools display accurate role-based void permissions in their access control reports.
Exploratory tests:
1. Attempt to void an empty check using a combination of food and beverage items to confirm the restriction applies only to food items.
2. Test edge cases where a check is voided immediately after adding and removing items to simulate rapid user actions.
3. Test voiding an empty check during peak system load to ensure the restriction is enforced without performance degradation.
4. Attempt to bypass the restriction by using alternate POS workflows or shortcuts.
Clarification flags:
1. Confirm whether the restriction applies to all POS terminals or only specific models/versions.
2. Clarify if there are any exceptions or overrides for specific roles or scenarios.
3. Confirm if the fraud prevention option bit is configurable per store or globally enforced across all stores.
4. Verify if there are any reporting or alerting requirements for blocked void attempts.
Effort estimate: 15–25 test cases
Effort notes: Effort is focused on validating the restriction for affected roles and ensuring no disruption to legitimate operations. Includes exploratory and integration scenarios.</x:v>
      </x:c>
      <x:c r="E78" s="21" t="str">
        <x:v>Scorable</x:v>
      </x:c>
      <x:c r="F78" s="28" t="n">
        <x:v>5</x:v>
      </x:c>
      <x:c r="G78" s="28" t="n">
        <x:v>5</x:v>
      </x:c>
      <x:c r="H78" s="28" t="n">
        <x:v>3</x:v>
      </x:c>
      <x:c r="I78" s="28" t="n">
        <x:v>5</x:v>
      </x:c>
      <x:c r="J78" s="28" t="n">
        <x:v>3</x:v>
      </x:c>
      <x:c r="K78" s="28" t="n">
        <x:f>IF(E78&lt;&gt;"Scorable","",IF(COUNT(F78:J78)=5,SUM(F78:J78),""))</x:f>
        <x:v>21</x:v>
      </x:c>
      <x:c r="L78"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Frozen implicit consensus elements were treated as essential where applicable.</x:v>
      </x:c>
      <x:c r="M78" s="21" t="str">
        <x:f>IF(E78&lt;&gt;"Scorable","Not scorable",IF(COUNT(F78:J78)&lt;&gt;5,"Missing scores",IF(AND(COUNTIFS(F78:J78,1)+COUNTIFS(F78:J78,2)+COUNTIFS(F78:J78,5)&gt;0,L78=""),"Missing rationale","Complete")))</x:f>
        <x:v>Complete</x:v>
      </x:c>
    </x:row>
    <x:row r="79" ht="180" customHeight="1">
      <x:c r="A79" s="21" t="str">
        <x:v>RATE-00CA00CD1980</x:v>
      </x:c>
      <x:c r="B79" s="21" t="str">
        <x:v>SPEC-17</x:v>
      </x:c>
      <x:c r="C79"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79" s="21" t="str">
        <x:v>Coverage depth: HIGH
Depth justification: Security and infrastructure changes require thorough testing to ensure no unintended consequences
Functional tests:
1. Verify the script successfully deploys and configures Windows Defender antivirus exclusions for the remote tunneling tool
2. Validate POS terminals function normally after script execution
3. Confirm the remote management tool is no longer flagged as a potential security threat
4. Test remote support sessions to ensure uninterrupted access
Smoke tests:
1. Quick verification of script deployment and antivirus exclusion configuration
2. Basic validation of POS terminal functionality post-script execution
Regression tests:
1. Test existing remote management tool functionality to ensure no new issues are introduced
2. Validate other security features and tools are unaffected by the antivirus exclusions
Integration tests:
1. Test the script's interaction with different versions of Windows Defender antivirus
2. Validate compatibility with various POS terminal configurations and hardware
Exploratory tests:
1. Investigate potential security vulnerabilities introduced by the antivirus exclusions
2. Explore edge cases and unexpected system behavior resulting from the script's execution
Clarification flags:
1. Specific lab environments and POS terminal configurations to be tested
2. Expected behavior and validation criteria for 'normal' POS terminal functionality
3. Details on the remote tunneling tool's version and configuration
Effort estimate: 20–50 test cases
Effort notes: Estimate may vary depending on the number of lab environments and POS terminal configurations</x:v>
      </x:c>
      <x:c r="E79" s="21" t="str">
        <x:v>Scorable</x:v>
      </x:c>
      <x:c r="F79" s="28" t="n">
        <x:v>3</x:v>
      </x:c>
      <x:c r="G79" s="28" t="n">
        <x:v>3</x:v>
      </x:c>
      <x:c r="H79" s="28" t="n">
        <x:v>3</x:v>
      </x:c>
      <x:c r="I79" s="28" t="n">
        <x:v>3</x:v>
      </x:c>
      <x:c r="J79" s="28" t="n">
        <x:v>2</x:v>
      </x:c>
      <x:c r="K79" s="28" t="n">
        <x:f>IF(E79&lt;&gt;"Scorable","",IF(COUNT(F79:J79)=5,SUM(F79:J79),""))</x:f>
        <x:v>14</x:v>
      </x:c>
      <x:c r="L79" s="24" t="str">
        <x:v>Clarification 2: a critical or multiple important consensus expectations remain weak or missing; Frozen implicit consensus elements were treated as essential where applicable.</x:v>
      </x:c>
      <x:c r="M79" s="21" t="str">
        <x:f>IF(E79&lt;&gt;"Scorable","Not scorable",IF(COUNT(F79:J79)&lt;&gt;5,"Missing scores",IF(AND(COUNTIFS(F79:J79,1)+COUNTIFS(F79:J79,2)+COUNTIFS(F79:J79,5)&gt;0,L79=""),"Missing rationale","Complete")))</x:f>
        <x:v>Complete</x:v>
      </x:c>
    </x:row>
    <x:row r="80" ht="180" customHeight="1">
      <x:c r="A80" s="21" t="str">
        <x:v>RATE-72C735C34425</x:v>
      </x:c>
      <x:c r="B80" s="21" t="str">
        <x:v>SPEC-19</x:v>
      </x:c>
      <x:c r="C80"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80" s="21" t="str">
        <x:v>Coverage depth: HIGH
Depth justification: Broad system regression potential across all network-dependent functions
Functional tests:
1. Verify payment device connectivity using the new secondary DNS provider
2. Test Wi-Fi network connectivity and stability with the updated DNS configuration
3. Validate remote management tool functions, including connectivity and performance
4. Confirm kitchen display system order routing and processing with the new DNS setup
5. Test order storing and picking functionality with the updated DNS configuration
6. Verify digital menu board and price change functionality with the new secondary DNS provider
7. Validate delivery platform integrations and order processing with the updated DNS setup
8. Test online ordering platform orders and payment processing with the new DNS configuration
9. Verify gift card and loyalty processing in offline mode with the updated DNS setup
10. Validate database reload and refresh functionality with the new secondary DNS provider
11. Test reporting and analytics functionality with the updated DNS configuration
12. Verify employee creation workflows and functionality with the new DNS setup
13. Validate sales performance notification tools with the updated DNS configuration
14. Test third-party order alert integrations with the new secondary DNS provider
Smoke tests:
1. Quick connectivity check for payment devices and Wi-Fi networks
2. Basic functionality test for remote management tools and kitchen display systems
3. Simple order processing test for online ordering and delivery platforms
Regression tests:
1. Re-test existing network-dependent functions to ensure no regression
2. Validate payment processing and online ordering functionality
3. Verify loyalty and gift card processing in both online and offline modes
4. Test database reload and refresh functionality
5. Validate reporting and analytics functionality
6. Verify employee management and sales performance notification tools
Integration tests:
1. Test integrations between payment devices, online ordering, and delivery platforms
2. Validate integrations between kitchen display systems, order routing, and picking functionality
3. Test integrations between loyalty and gift card processing, and online ordering platforms
4. Validate integrations between database reload and refresh, and reporting and analytics functionality
Exploratory tests:
1. Test DNS resolution and network connectivity under heavy load or stress conditions
2. Verify system behavior during DNS provider failover or outage scenarios
3. Explore potential issues with DNS caching or TTL settings
4. Investigate potential security vulnerabilities with the new secondary DNS provider
Clarification flags:
1. Specific DNS configuration and setup details
2. Expected behavior during DNS provider failover or outage scenarios
3. Performance and security requirements for the new secondary DNS provider
4. Dependencies between network-dependent functions and other system components
Effort estimate: 50–100 test cases
Effort notes: Complexity of testing due to broad system impact and multiple integrated areas</x:v>
      </x:c>
      <x:c r="E80" s="21" t="str">
        <x:v>Scorable</x:v>
      </x:c>
      <x:c r="F80" s="28" t="n">
        <x:v>3</x:v>
      </x:c>
      <x:c r="G80" s="28" t="n">
        <x:v>4</x:v>
      </x:c>
      <x:c r="H80" s="28" t="n">
        <x:v>4</x:v>
      </x:c>
      <x:c r="I80" s="28" t="n">
        <x:v>2</x:v>
      </x:c>
      <x:c r="J80" s="28" t="n">
        <x:v>2</x:v>
      </x:c>
      <x:c r="K80" s="28" t="n">
        <x:f>IF(E80&lt;&gt;"Scorable","",IF(COUNT(F80:J80)=5,SUM(F80:J80),""))</x:f>
        <x:v>15</x:v>
      </x:c>
      <x:c r="L80" s="24" t="str">
        <x:v>Integration 2: a critical or multiple important consensus expectations remain weak or missing; Clarification 2: a critical or multiple important consensus expectations remain weak or missing; Frozen implicit consensus elements were treated as essential where applicable.</x:v>
      </x:c>
      <x:c r="M80" s="21" t="str">
        <x:f>IF(E80&lt;&gt;"Scorable","Not scorable",IF(COUNT(F80:J80)&lt;&gt;5,"Missing scores",IF(AND(COUNTIFS(F80:J80,1)+COUNTIFS(F80:J80,2)+COUNTIFS(F80:J80,5)&gt;0,L80=""),"Missing rationale","Complete")))</x:f>
        <x:v>Complete</x:v>
      </x:c>
    </x:row>
    <x:row r="81" ht="180" customHeight="1">
      <x:c r="A81" s="21" t="str">
        <x:v>RATE-B73902CC1953</x:v>
      </x:c>
      <x:c r="B81" s="21" t="str">
        <x:v>SPEC-17</x:v>
      </x:c>
      <x:c r="C81"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81" s="21" t="str">
        <x:v>Coverage depth: HIGH
Depth justification: The change affects security configurations and has the potential to impact critical store operations, necessitating thorough testing.
Functional tests:
1. Verify the remote management script successfully deploys and configures Windows Defender antivirus exclusions for the remote tunneling tool on POS terminals.
2. Confirm POS terminals function normally after script execution, including processing transactions and performing other core operations.
3. Validate the remote management tool is no longer flagged as a potential security threat by Windows Defender after the exclusion is applied.
Smoke tests:
1. Quick verification of POS terminal startup and basic functionality after script deployment.
2. Check for any immediate error messages or system crashes after applying the antivirus exclusion.
Regression tests:
1. Test existing remote support sessions to ensure they can be established and maintained without issues after the script is run.
2. Verify other security features and tools on the POS terminals are not adversely affected by the new exclusion.
Integration tests:
1. Test the integration of the remote management tool with other store systems and tools after the exclusion is applied, ensuring no disruption to normal operations.
2. Validate data flows between the POS terminal, remote management tool, and other connected systems are unaffected by the change.
Exploratory tests:
1. Investigate potential timing issues, such as applying the exclusion during peak transaction hours or while remote support sessions are active.
2. Explore boundary conditions, like the impact of multiple consecutive executions of the script or applying the exclusion to different versions of the remote tunneling tool.
Clarification flags:
1. Specific lab environments and configurations that need to be tested
2. Detailed requirements for the remote tunneling tool versions and Windows Defender configurations
3. Any existing backup or rollback procedures for the script deployment in case of issues
Effort estimate: 15–30 test cases
Effort notes: The estimate considers the need for testing across multiple lab environments and the complexity of integrating with existing security and management tools.</x:v>
      </x:c>
      <x:c r="E81" s="21" t="str">
        <x:v>Scorable</x:v>
      </x:c>
      <x:c r="F81" s="28" t="n">
        <x:v>3</x:v>
      </x:c>
      <x:c r="G81" s="28" t="n">
        <x:v>3</x:v>
      </x:c>
      <x:c r="H81" s="28" t="n">
        <x:v>3</x:v>
      </x:c>
      <x:c r="I81" s="28" t="n">
        <x:v>3</x:v>
      </x:c>
      <x:c r="J81" s="28" t="n">
        <x:v>2</x:v>
      </x:c>
      <x:c r="K81" s="28" t="n">
        <x:f>IF(E81&lt;&gt;"Scorable","",IF(COUNT(F81:J81)=5,SUM(F81:J81),""))</x:f>
        <x:v>14</x:v>
      </x:c>
      <x:c r="L81" s="24" t="str">
        <x:v>Clarification 2: a critical or multiple important consensus expectations remain weak or missing; Frozen implicit consensus elements were treated as essential where applicable.</x:v>
      </x:c>
      <x:c r="M81" s="21" t="str">
        <x:f>IF(E81&lt;&gt;"Scorable","Not scorable",IF(COUNT(F81:J81)&lt;&gt;5,"Missing scores",IF(AND(COUNTIFS(F81:J81,1)+COUNTIFS(F81:J81,2)+COUNTIFS(F81:J81,5)&gt;0,L81=""),"Missing rationale","Complete")))</x:f>
        <x:v>Complete</x:v>
      </x:c>
    </x:row>
    <x:row r="82" ht="180" customHeight="1">
      <x:c r="A82" s="21" t="str">
        <x:v>RATE-4B1A8CC2C103</x:v>
      </x:c>
      <x:c r="B82" s="21" t="str">
        <x:v>SPEC-14</x:v>
      </x:c>
      <x:c r="C82"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82" s="21" t="str">
        <x:v>Coverage depth: HIGH
Depth justification: This is a major version upgrade of a third-party application with potential compatibility risks across multiple devices and OS versions.
Functional tests:
1. Validate that the app launches successfully on Gen 10 and Gen 11 tablets running iOS 18.5.
2. Validate that the app launches successfully on Gen 10 and Gen 11 tablets running iOS 26.1.
3. Test the ability to browse the menu and add items to the cart on all device and OS combinations.
4. Test the checkout process, including payment submission, on all device and OS combinations.
5. Verify that user login and logout functionality works correctly on all device and OS combinations.
6. Test the app's ability to sync orders with the backend system on all device and OS combinations.
Smoke tests:
1. Verify that the app does not crash on launch across all device and OS combinations.
2. Confirm that basic navigation (e.g., moving between menu categories) works without errors.
3. Validate that the app can connect to the backend server and retrieve menu data.
Regression tests:
1. Verify that the app retains user session data correctly after closing and reopening on iOS 18.5.
2. Test that the app handles network interruptions gracefully during order submission on iOS 18.5.
3. Validate that the app's reporting and analytics data is correctly logged and transmitted to the backend.
4. Ensure that the app's UI elements (e.g., buttons, text fields) render correctly on Gen 10 and Gen 11 tablets.
Integration tests:
1. Validate end-to-end order placement, including syncing with the backend system and generating a confirmation receipt.
2. Test the integration between the app and the payment gateway for successful and failed transactions.
3. Verify that the app correctly syncs inventory updates from the backend system.
Exploratory tests:
1. Test app behavior when switching between Wi-Fi and cellular networks during order placement.
2. Probe for any performance issues (e.g., lag, crashes) when rapidly adding and removing items from the cart.
3. Test app behavior when the tablet's battery is critically low or charging during use.
4. Explore any undocumented or unexpected UI/UX changes introduced in the new version.
Clarification flags:
1. Vendor release notes are pending and may reveal additional functionality or changes requiring testing.
2. Are there any specific features or workflows that are considered critical and require priority testing?
3. Should any specific focus be placed on iOS 26.1 beyond basic compatibility, given it is not yet in production?
Effort estimate: 25–35 test cases
Effort notes: Effort is high due to the need to test across multiple device and OS combinations, as well as the lack of vendor release notes.</x:v>
      </x:c>
      <x:c r="E82" s="21" t="str">
        <x:v>Scorable</x:v>
      </x:c>
      <x:c r="F82" s="28" t="n">
        <x:v>3</x:v>
      </x:c>
      <x:c r="G82" s="28" t="n">
        <x:v>3</x:v>
      </x:c>
      <x:c r="H82" s="28" t="n">
        <x:v>4</x:v>
      </x:c>
      <x:c r="I82" s="28" t="n">
        <x:v>3</x:v>
      </x:c>
      <x:c r="J82" s="28" t="n">
        <x:v>3</x:v>
      </x:c>
      <x:c r="K82" s="28" t="n">
        <x:f>IF(E82&lt;&gt;"Scorable","",IF(COUNT(F82:J82)=5,SUM(F82:J82),""))</x:f>
        <x:v>16</x:v>
      </x:c>
      <x:c r="L82" s="24" t="str">
        <x:v>Frozen implicit consensus elements were treated as essential where applicable.</x:v>
      </x:c>
      <x:c r="M82" s="21" t="str">
        <x:f>IF(E82&lt;&gt;"Scorable","Not scorable",IF(COUNT(F82:J82)&lt;&gt;5,"Missing scores",IF(AND(COUNTIFS(F82:J82,1)+COUNTIFS(F82:J82,2)+COUNTIFS(F82:J82,5)&gt;0,L82=""),"Missing rationale","Complete")))</x:f>
        <x:v>Complete</x:v>
      </x:c>
    </x:row>
    <x:row r="83" ht="180" customHeight="1">
      <x:c r="A83" s="21" t="str">
        <x:v>RATE-E7C382B89A0D</x:v>
      </x:c>
      <x:c r="B83" s="21" t="str">
        <x:v>SPEC-05</x:v>
      </x:c>
      <x:c r="C83"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83" s="21" t="str">
        <x:v>Coverage depth: MEDIUM
Depth justification: The feature introduces a new size tier with pricing and configuration changes, but it builds on existing functionality and does not introduce entirely new systems.
Functional tests:
1. Verify the extra-large size tier is available for iced coffee, iced latte, and refreshers in the menu.
2. Ensure the extra-large size tier is priced at 2x the medium beverage price.
3. Validate the default modifier count of 6 is applied to the extra-large size tier.
4. Check that all existing modifications are available for the extra-large size tier.
5. Confirm seasonal hero build variants are correctly associated with the extra-large size tier for specific items.
Smoke tests:
1. Verify the extra-large size tier appears in the menu for iced coffee, iced latte, and refreshers.
2. Ensure the pricing engine calculates the price for the extra-large size tier correctly.
3. Check that the POS system allows ordering of the extra-large size tier without errors.
Regression tests:
1. Verify that existing size tiers (small, medium, large) remain unaffected in the menu.
2. Ensure the pricing engine continues to calculate prices correctly for all other size tiers.
3. Validate that existing modifiers and seasonal hero builds work as expected for other size tiers.
Integration tests:
1. Test the integration between the menu configuration and the POS system for the extra-large size tier.
2. Verify the pricing engine correctly applies the 2x medium price rule for the extra-large size tier.
3. Ensure the default modifier count of 6 is reflected in the POS system and pricing engine.
Exploratory tests:
1. Explore edge cases such as removing all modifiers or exceeding the default modifier count for the extra-large size tier.
2. Test combinations of seasonal hero builds with the extra-large size tier to identify any unexpected behavior.
3. Investigate how the extra-large size tier interacts with promotional discounts or loyalty programs.
Clarification flags:
1. Clarify if any specific seasonal hero builds are mandatory for testing.
2. Confirm if promotional discounts or loyalty program interactions need to be explicitly tested for the extra-large size tier.
3. Verify if there are any regional pricing variations for the extra-large size tier.
Effort estimate: 15–25 test cases
Effort notes: The effort estimate accounts for functional, smoke, regression, and integration tests, with additional exploratory testing for edge cases.</x:v>
      </x:c>
      <x:c r="E83" s="21" t="str">
        <x:v>Scorable</x:v>
      </x:c>
      <x:c r="F83" s="28" t="n">
        <x:v>5</x:v>
      </x:c>
      <x:c r="G83" s="28" t="n">
        <x:v>5</x:v>
      </x:c>
      <x:c r="H83" s="28" t="n">
        <x:v>3</x:v>
      </x:c>
      <x:c r="I83" s="28" t="n">
        <x:v>5</x:v>
      </x:c>
      <x:c r="J83" s="28" t="n">
        <x:v>3</x:v>
      </x:c>
      <x:c r="K83" s="28" t="n">
        <x:f>IF(E83&lt;&gt;"Scorable","",IF(COUNT(F83:J83)=5,SUM(F83:J83),""))</x:f>
        <x:v>21</x:v>
      </x:c>
      <x:c r="L83"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Frozen implicit consensus elements were treated as essential where applicable.</x:v>
      </x:c>
      <x:c r="M83" s="21" t="str">
        <x:f>IF(E83&lt;&gt;"Scorable","Not scorable",IF(COUNT(F83:J83)&lt;&gt;5,"Missing scores",IF(AND(COUNTIFS(F83:J83,1)+COUNTIFS(F83:J83,2)+COUNTIFS(F83:J83,5)&gt;0,L83=""),"Missing rationale","Complete")))</x:f>
        <x:v>Complete</x:v>
      </x:c>
    </x:row>
    <x:row r="84" ht="180" customHeight="1">
      <x:c r="A84" s="21" t="str">
        <x:v>RATE-06587B4961E4</x:v>
      </x:c>
      <x:c r="B84" s="21" t="str">
        <x:v>SPEC-05</x:v>
      </x:c>
      <x:c r="C84"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84" s="21" t="str">
        <x:v>Terminal invalid JSON. This observation is retained as a structural failure and receives no rubric score.</x:v>
      </x:c>
      <x:c r="E84" s="21" t="str">
        <x:v>Not scorable — terminal invalid JSON</x:v>
      </x:c>
      <x:c r="F84" s="29"/>
      <x:c r="G84" s="29"/>
      <x:c r="H84" s="29"/>
      <x:c r="I84" s="29"/>
      <x:c r="J84" s="29"/>
      <x:c r="K84" s="29" t="str">
        <x:f>IF(E84&lt;&gt;"Scorable","",IF(COUNT(F84:J84)=5,SUM(F84:J84),""))</x:f>
      </x:c>
      <x:c r="L84" s="26"/>
      <x:c r="M84" s="21" t="str">
        <x:f>IF(E84&lt;&gt;"Scorable","Not scorable",IF(COUNT(F84:J84)&lt;&gt;5,"Missing scores",IF(AND(COUNTIFS(F84:J84,1)+COUNTIFS(F84:J84,2)+COUNTIFS(F84:J84,5)&gt;0,L84=""),"Missing rationale","Complete")))</x:f>
        <x:v>Not scorable</x:v>
      </x:c>
    </x:row>
    <x:row r="85" ht="180" customHeight="1">
      <x:c r="A85" s="21" t="str">
        <x:v>RATE-A33F1AEFD55D</x:v>
      </x:c>
      <x:c r="B85" s="21" t="str">
        <x:v>SPEC-18</x:v>
      </x:c>
      <x:c r="C85"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85" s="21" t="str">
        <x:v>Coverage depth: HIGH
Depth justification: New feature introduction with potential impact on existing workflows and system integrations
Functional tests:
1. Test scheduling of notifications with various start and end dates
2. Verify notifications display correctly on POS workstation screens upon crew member clock-in
3. Validate notification content can be edited and updated by authorized users
4. Check notifications are properly sorted and displayed in the order they were scheduled
5. Test notification deletion and confirmation workflow
6. Verify notifications are not displayed to users without the proper permissions
Smoke tests:
1. Confirm POS workstation functionality remains unaffected by the new notification feature
2. Verify employee clock-in workflow still functions as expected
3. Test that existing notification management features are not impacted
Regression tests:
1. Validate existing POS workstation workflows, such as checkout and payment processing
2. Test employee clock-in and clock-out functionality with and without notifications
3. Verify that notifications do not interfere with other system features, such as inventory management or reporting
Integration tests:
1. Test end-to-end workflow of scheduling a notification, having a crew member clock-in, and verifying the notification is displayed
2. Validate integration with existing user management and permissions systems
3. Verify data flow between notification management and POS workstation systems
Exploratory tests:
1. Investigate how the system handles overlapping or conflicting notifications
2. Test the impact of a large number of scheduled notifications on system performance
3. Explore the behavior of the system when a crew member clocks in multiple times in a short period
Clarification flags:
1. Notification character limit and formatting options
2. Specific user roles and permissions for scheduling and editing notifications
3. Any limitations on the number of notifications that can be scheduled or displayed
4. How notifications are handled when a crew member clocks in from a different workstation or location
Effort estimate: 30–50 test cases
Effort notes: Estimate assumes a small QA team with some existing knowledge of the POS system</x:v>
      </x:c>
      <x:c r="E85" s="21" t="str">
        <x:v>Scorable</x:v>
      </x:c>
      <x:c r="F85" s="28" t="n">
        <x:v>3</x:v>
      </x:c>
      <x:c r="G85" s="28" t="n">
        <x:v>3</x:v>
      </x:c>
      <x:c r="H85" s="28" t="n">
        <x:v>3</x:v>
      </x:c>
      <x:c r="I85" s="28" t="n">
        <x:v>4</x:v>
      </x:c>
      <x:c r="J85" s="28" t="n">
        <x:v>2</x:v>
      </x:c>
      <x:c r="K85" s="28" t="n">
        <x:f>IF(E85&lt;&gt;"Scorable","",IF(COUNT(F85:J85)=5,SUM(F85:J85),""))</x:f>
        <x:v>15</x:v>
      </x:c>
      <x:c r="L85" s="24" t="str">
        <x:v>Clarification 2: a critical or multiple important consensus expectations remain weak or missing; Frozen implicit consensus elements were treated as essential where applicable.</x:v>
      </x:c>
      <x:c r="M85" s="21" t="str">
        <x:f>IF(E85&lt;&gt;"Scorable","Not scorable",IF(COUNT(F85:J85)&lt;&gt;5,"Missing scores",IF(AND(COUNTIFS(F85:J85,1)+COUNTIFS(F85:J85,2)+COUNTIFS(F85:J85,5)&gt;0,L85=""),"Missing rationale","Complete")))</x:f>
        <x:v>Complete</x:v>
      </x:c>
    </x:row>
    <x:row r="86" ht="180" customHeight="1">
      <x:c r="A86" s="21" t="str">
        <x:v>RATE-862E4D924E6B</x:v>
      </x:c>
      <x:c r="B86" s="21" t="str">
        <x:v>SPEC-18</x:v>
      </x:c>
      <x:c r="C86"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86" s="21" t="str">
        <x:v>Coverage depth: HIGH
Depth justification: This is a new feature with potential impacts on critical workflows (clock-in, POS operations) and involves integration with multiple systems (notification management, clock-in system).
Functional tests:
1. Verify that a manager can schedule a notification through the notification management interface.
2. Verify that a scheduled notification is displayed on the POS workstation screen when a crew member clocks in.
3. Verify that notifications are displayed only to the intended recipient(s) based on the scheduling configuration.
4. Verify that notifications can include text, links, and formatting as specified in the feature requirements.
5. Verify that notifications are dismissed after being acknowledged by the crew member.
6. Verify that expired notifications are not displayed on the POS workstation.
7. Verify that notifications can be edited or deleted by the manager before they are displayed.
8. Verify that the notification scheduling system supports time zones and displays notifications at the correct local time.
Smoke tests:
1. Verify that the POS workstation operates normally when no notifications are scheduled.
2. Verify that the POS workstation does not crash or freeze when displaying a notification.
3. Verify that the clock-in workflow is not disrupted by the notification display.
4. Verify that the notification management interface is accessible and functional for managers.
Regression tests:
1. Verify that the existing clock-in workflow for crew members functions as expected without delays or errors.
2. Verify that the POS workstation continues to process transactions correctly after a notification is displayed.
3. Verify that existing features like loyalty program prompts and upsell suggestions during checkout are not affected by the notification feature.
4. Verify that the POS workstation UI remains responsive and functional when notifications are displayed.
Integration tests:
1. Verify that notifications scheduled in the notification management system are correctly transmitted to the POS workstation.
2. Verify that the POS workstation correctly retrieves and displays notifications from the central notification management system.
3. Verify that the notification scheduling system integrates correctly with the employee clock-in system to trigger notifications at the appropriate time.
4. Verify that notifications are correctly logged in the system for auditing purposes.
Exploratory tests:
1. Test how the system handles a large number of scheduled notifications for a single crew member.
2. Test how the system behaves if the notification contains unsupported characters or formatting.
3. Test the behavior when a crew member clocks in multiple times in quick succession (e.g., accidental double clock-in).
4. Test the behavior when a notification is scheduled for a crew member who does not clock in during the scheduled time.
5. Test how the system handles notifications scheduled for a crew member who is not assigned to the store where the POS workstation is located.
Clarification flags:
1. What is the maximum number of notifications that can be scheduled for a single crew member?
2. Are there specific formatting or content restrictions for notifications (e.g., character limits, prohibited characters)?
3. What happens if the POS workstation is offline when a crew member clocks in? Are notifications queued or lost?
4. Is there a specific timeout or retry mechanism for retrieving notifications from the central system?
5. Are there any accessibility requirements for the notification display (e.g., font size, color contrast)?
Effort estimate: 25–35 test cases
Effort notes: The high coverage depth and integration complexity require thorough testing across functional, regression, and integration scopes.</x:v>
      </x:c>
      <x:c r="E86" s="21" t="str">
        <x:v>Scorable</x:v>
      </x:c>
      <x:c r="F86" s="28" t="n">
        <x:v>4</x:v>
      </x:c>
      <x:c r="G86" s="28" t="n">
        <x:v>4</x:v>
      </x:c>
      <x:c r="H86" s="28" t="n">
        <x:v>5</x:v>
      </x:c>
      <x:c r="I86" s="28" t="n">
        <x:v>5</x:v>
      </x:c>
      <x:c r="J86" s="28" t="n">
        <x:v>1</x:v>
      </x:c>
      <x:c r="K86" s="28" t="n">
        <x:f>IF(E86&lt;&gt;"Scorable","",IF(COUNT(F86:J86)=5,SUM(F86:J86),""))</x:f>
        <x:v>19</x:v>
      </x:c>
      <x:c r="L86" s="24" t="str">
        <x:v>Risk 5: depth matches consensus and the justification is materially risk-specific; Integration 5: essentially all material consensus expectations are covered at this dimension; Clarification 1: the recommendation is fundamentally inadequate for this dimension; Frozen implicit consensus elements were treated as essential where applicable.</x:v>
      </x:c>
      <x:c r="M86" s="21" t="str">
        <x:f>IF(E86&lt;&gt;"Scorable","Not scorable",IF(COUNT(F86:J86)&lt;&gt;5,"Missing scores",IF(AND(COUNTIFS(F86:J86,1)+COUNTIFS(F86:J86,2)+COUNTIFS(F86:J86,5)&gt;0,L86=""),"Missing rationale","Complete")))</x:f>
        <x:v>Complete</x:v>
      </x:c>
    </x:row>
    <x:row r="87" ht="180" customHeight="1">
      <x:c r="A87" s="21" t="str">
        <x:v>RATE-B2FB2BFB8B30</x:v>
      </x:c>
      <x:c r="B87" s="21" t="str">
        <x:v>SPEC-10</x:v>
      </x:c>
      <x:c r="C87"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87" s="21" t="str">
        <x:v>Coverage depth: MEDIUM
Depth justification: Certificate renewal is a relatively low-risk change, but affects critical infrastructure and security components
Functional tests:
1. Verify successful SSL certificate import on POS terminals
2. Verify successful SSL certificate import on tablets
3. Verify POS platform can reference new certificates based on content management page settings
4. Verify loyalty platform integration functions as expected with new certificates
Smoke tests:
1. Verify no service disruption after certificate renewal
2. Verify POS terminals and tablets can connect to loyalty platform with new certificates
Regression tests:
1. Verify existing functionality of loyalty platform integration is not affected by certificate renewal
2. Verify other brand integrations are not impacted by certificate renewal
Integration tests:
1. Verify integration between POS terminals, tablets, and loyalty platform with new certificates
2. Verify content management configuration correctly references new certificates
Exploratory tests:
1. Test certificate renewal process in UAT environment zone
2. Explore potential security vulnerabilities with new certificates
Clarification flags:
1. Confirmation of target deployment date
2. Details on certificate installation process on external loyalty platform vendor's servers
3. Availability of test data and environment for testing
Effort estimate: 10–20 test cases
Effort notes: Effort estimate may vary depending on complexity of testing environment and availability of test data</x:v>
      </x:c>
      <x:c r="E87" s="21" t="str">
        <x:v>Scorable</x:v>
      </x:c>
      <x:c r="F87" s="28" t="n">
        <x:v>3</x:v>
      </x:c>
      <x:c r="G87" s="28" t="n">
        <x:v>3</x:v>
      </x:c>
      <x:c r="H87" s="28" t="n">
        <x:v>2</x:v>
      </x:c>
      <x:c r="I87" s="28" t="n">
        <x:v>3</x:v>
      </x:c>
      <x:c r="J87" s="28" t="n">
        <x:v>3</x:v>
      </x:c>
      <x:c r="K87" s="28" t="n">
        <x:f>IF(E87&lt;&gt;"Scorable","",IF(COUNT(F87:J87)=5,SUM(F87:J87),""))</x:f>
        <x:v>14</x:v>
      </x:c>
      <x:c r="L87" s="24" t="str">
        <x:v>Risk 2: a critical or multiple important consensus expectations remain weak or missing; Frozen implicit consensus elements were treated as essential where applicable.</x:v>
      </x:c>
      <x:c r="M87" s="21" t="str">
        <x:f>IF(E87&lt;&gt;"Scorable","Not scorable",IF(COUNT(F87:J87)&lt;&gt;5,"Missing scores",IF(AND(COUNTIFS(F87:J87,1)+COUNTIFS(F87:J87,2)+COUNTIFS(F87:J87,5)&gt;0,L87=""),"Missing rationale","Complete")))</x:f>
        <x:v>Complete</x:v>
      </x:c>
    </x:row>
    <x:row r="88" ht="180" customHeight="1">
      <x:c r="A88" s="21" t="str">
        <x:v>RATE-186C69FD67FF</x:v>
      </x:c>
      <x:c r="B88" s="21" t="str">
        <x:v>SPEC-18</x:v>
      </x:c>
      <x:c r="C88"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88" s="21" t="str">
        <x:v>Coverage depth: HIGH
Depth justification: The feature directly impacts employee workflows and communication, which are critical to store operations. Comprehensive testing is required to ensure reliability and usability.
Functional tests:
1. Verify that store owners and managers can successfully schedule a notification through the POS notification management system.
2. Verify that scheduled notifications appear on the POS workstation screen when a crew member clocks in.
3. Verify that notifications are displayed only to the intended recipients based on scheduling parameters.
4. Verify that notifications can be edited or deleted before their scheduled display time.
5. Verify that notifications support various content types such as text, images, and links.
6. Verify that notifications are displayed in the correct format and do not disrupt other POS functionalities.
Smoke tests:
1. Verify that the POS workstation boots up and the notification feature is accessible.
2. Verify that a basic notification can be scheduled and displayed successfully.
3. Verify that the notification feature does not crash or cause errors during clock-in.
Regression tests:
1. Verify that existing POS workstation functionalities such as clock-in, checkout, and reporting are not impacted by the new notification feature.
2. Verify that the notification feature integrates seamlessly with the employee clock-in workflow.
3. Verify that notifications do not interfere with other scheduled POS processes, such as software updates or transaction processing.
Integration tests:
1. Verify that the notification scheduling system integrates correctly with the POS workstation software.
2. Verify that notifications are properly synchronized across multiple POS workstations in the same store.
3. Verify that the notification system integrates with the employee clock-in system to trigger notifications at the correct time.
Exploratory tests:
1. Test edge cases such as scheduling overlapping notifications or scheduling notifications for invalid time ranges.
2. Test the behavior of the notification system when the POS workstation is offline or experiencing connectivity issues.
3. Test the user experience of the notification scheduling interface for usability and clarity.
Clarification flags:
1. Details on notification content limitations (e.g., character count, supported file types).
2. Expected behavior if multiple notifications are scheduled for the same time.
3. Requirements for notification display duration and dismissal options.
4. Handling of notifications when the POS workstation is offline or in maintenance mode.
Effort estimate: 25–40 test cases
Effort notes: The estimate includes functional, integration, regression, and exploratory test cases. Additional effort may be required for edge case testing and usability validation.</x:v>
      </x:c>
      <x:c r="E88" s="21" t="str">
        <x:v>Scorable</x:v>
      </x:c>
      <x:c r="F88" s="28" t="n">
        <x:v>4</x:v>
      </x:c>
      <x:c r="G88" s="28" t="n">
        <x:v>4</x:v>
      </x:c>
      <x:c r="H88" s="28" t="n">
        <x:v>4</x:v>
      </x:c>
      <x:c r="I88" s="28" t="n">
        <x:v>4</x:v>
      </x:c>
      <x:c r="J88" s="28" t="n">
        <x:v>1</x:v>
      </x:c>
      <x:c r="K88" s="28" t="n">
        <x:f>IF(E88&lt;&gt;"Scorable","",IF(COUNT(F88:J88)=5,SUM(F88:J88),""))</x:f>
        <x:v>17</x:v>
      </x:c>
      <x:c r="L88" s="24" t="str">
        <x:v>Clarification 1: the recommendation is fundamentally inadequate for this dimension; Frozen implicit consensus elements were treated as essential where applicable.</x:v>
      </x:c>
      <x:c r="M88" s="21" t="str">
        <x:f>IF(E88&lt;&gt;"Scorable","Not scorable",IF(COUNT(F88:J88)&lt;&gt;5,"Missing scores",IF(AND(COUNTIFS(F88:J88,1)+COUNTIFS(F88:J88,2)+COUNTIFS(F88:J88,5)&gt;0,L88=""),"Missing rationale","Complete")))</x:f>
        <x:v>Complete</x:v>
      </x:c>
    </x:row>
    <x:row r="89" ht="180" customHeight="1">
      <x:c r="A89" s="21" t="str">
        <x:v>RATE-9F813CBC5036</x:v>
      </x:c>
      <x:c r="B89" s="21" t="str">
        <x:v>SPEC-18</x:v>
      </x:c>
      <x:c r="C89"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89" s="21" t="str">
        <x:v>Terminal invalid JSON. This observation is retained as a structural failure and receives no rubric score.</x:v>
      </x:c>
      <x:c r="E89" s="21" t="str">
        <x:v>Not scorable — terminal invalid JSON</x:v>
      </x:c>
      <x:c r="F89" s="29"/>
      <x:c r="G89" s="29"/>
      <x:c r="H89" s="29"/>
      <x:c r="I89" s="29"/>
      <x:c r="J89" s="29"/>
      <x:c r="K89" s="29" t="str">
        <x:f>IF(E89&lt;&gt;"Scorable","",IF(COUNT(F89:J89)=5,SUM(F89:J89),""))</x:f>
      </x:c>
      <x:c r="L89" s="26"/>
      <x:c r="M89" s="21" t="str">
        <x:f>IF(E89&lt;&gt;"Scorable","Not scorable",IF(COUNT(F89:J89)&lt;&gt;5,"Missing scores",IF(AND(COUNTIFS(F89:J89,1)+COUNTIFS(F89:J89,2)+COUNTIFS(F89:J89,5)&gt;0,L89=""),"Missing rationale","Complete")))</x:f>
        <x:v>Not scorable</x:v>
      </x:c>
    </x:row>
    <x:row r="90" ht="180" customHeight="1">
      <x:c r="A90" s="21" t="str">
        <x:v>RATE-A14227361448</x:v>
      </x:c>
      <x:c r="B90" s="21" t="str">
        <x:v>SPEC-02</x:v>
      </x:c>
      <x:c r="C90"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90" s="21" t="str">
        <x:v>Coverage depth: HIGH
Depth justification: The patch addresses a critical issue in payment processing, which is a core business function. The fix impacts multiple POS and terminal combinations, and the risk of regression or incomplete resolution is significant.
Functional tests:
1. Verify that a transaction completes successfully on POS v18 with terminal model A after the firmware update.
2. Verify that a transaction completes successfully on POS v18 with terminal model B after the firmware update.
3. Verify that a transaction completes successfully on POS v18 with terminal model C after the firmware update.
4. Verify that a transaction completes successfully on POS v19 with terminal model A after the firmware update.
5. Verify that a transaction completes successfully on POS v19 with terminal model B after the firmware update.
6. Verify that a transaction completes successfully on POS v19 with terminal model C after the firmware update.
7. Simulate a network cable disconnection mid-transaction on POS v18 with terminal model A, reconnect the cable, and verify that a new transaction completes successfully.
8. Simulate a network cable disconnection mid-transaction on POS v18 with terminal model B, reconnect the cable, and verify that a new transaction completes successfully.
9. Simulate a network cable disconnection mid-transaction on POS v18 with terminal model C, reconnect the cable, and verify that a new transaction completes successfully.
10. Simulate a network cable disconnection mid-transaction on POS v19 with terminal model A, reconnect the cable, and verify that a new transaction completes successfully.
11. Simulate a network cable disconnection mid-transaction on POS v19 with terminal model B, reconnect the cable, and verify that a new transaction completes successfully.
12. Simulate a network cable disconnection mid-transaction on POS v19 with terminal model C, reconnect the cable, and verify that a new transaction completes successfully.
Smoke tests:
1. Verify that a basic transaction completes successfully on POS v18 with terminal model A after the firmware update.
2. Verify that a basic transaction completes successfully on POS v19 with terminal model C after the firmware update.
Regression tests:
1. Verify that transactions complete successfully on POS v18 and v19 with terminal models A, B, and C without network interruptions.
2. Verify that the payment terminal correctly handles chip card transactions without errors on all POS and terminal combinations.
3. Verify that the payment terminal correctly handles contactless payments on all POS and terminal combinations.
4. Verify that the payment terminal correctly handles magnetic stripe card transactions on all POS and terminal combinations.
Integration tests:
1. Verify that the payment terminal correctly communicates with the payment gateway after the firmware update across all POS and terminal combinations.
2. Verify that transaction data is correctly logged and transmitted to the backend system after the firmware update.
3. Verify that the payment terminal correctly handles multi-item transactions and applies discounts or taxes as configured.
Exploratory tests:
1. Simulate rapid network cable disconnections and reconnections during a transaction to observe system behavior.
2. Simulate a network cable disconnection during a high-value transaction and verify recovery.
3. Test the firmware update process itself to ensure it completes successfully without errors.
4. Test the system's behavior when the firmware update is interrupted mid-process.
5. Verify system behavior when the payment terminal is powered off and on after the firmware update.
Clarification flags:
1. Are there any specific payment gateway configurations or backend systems that need to be tested?
2. Are there any known limitations or constraints with the firmware update process?
3. Should testing include scenarios with different network conditions (e.g., high latency, packet loss)?
4. Are there any specific compliance or certification requirements for the firmware update?
Effort estimate: 20–30 test cases
Effort notes: The estimate accounts for functional, regression, and integration testing across 6 device/POS combinations, with additional exploratory scenarios.</x:v>
      </x:c>
      <x:c r="E90" s="21" t="str">
        <x:v>Scorable</x:v>
      </x:c>
      <x:c r="F90" s="28" t="n">
        <x:v>3</x:v>
      </x:c>
      <x:c r="G90" s="28" t="n">
        <x:v>4</x:v>
      </x:c>
      <x:c r="H90" s="28" t="n">
        <x:v>5</x:v>
      </x:c>
      <x:c r="I90" s="28" t="n">
        <x:v>3</x:v>
      </x:c>
      <x:c r="J90" s="28" t="n">
        <x:v>2</x:v>
      </x:c>
      <x:c r="K90" s="28" t="n">
        <x:f>IF(E90&lt;&gt;"Scorable","",IF(COUNT(F90:J90)=5,SUM(F90:J90),""))</x:f>
        <x:v>17</x:v>
      </x:c>
      <x:c r="L90" s="24" t="str">
        <x:v>Risk 5: depth matches consensus and the justification is materially risk-specific; Clarification 2: a critical or multiple important consensus expectations remain weak or missing; Frozen implicit consensus elements were treated as essential where applicable.</x:v>
      </x:c>
      <x:c r="M90" s="21" t="str">
        <x:f>IF(E90&lt;&gt;"Scorable","Not scorable",IF(COUNT(F90:J90)&lt;&gt;5,"Missing scores",IF(AND(COUNTIFS(F90:J90,1)+COUNTIFS(F90:J90,2)+COUNTIFS(F90:J90,5)&gt;0,L90=""),"Missing rationale","Complete")))</x:f>
        <x:v>Complete</x:v>
      </x:c>
    </x:row>
    <x:row r="91" ht="180" customHeight="1">
      <x:c r="A91" s="21" t="str">
        <x:v>RATE-884B103B69E4</x:v>
      </x:c>
      <x:c r="B91" s="21" t="str">
        <x:v>SPEC-13</x:v>
      </x:c>
      <x:c r="C91"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91" s="21" t="str">
        <x:v>Coverage depth: MEDIUM
Depth justification: Configuration change with potential impact on multiple system areas
Functional tests:
1. Verify the new zone is successfully added to the POS hierarchy
2. Confirm properties assigned to the new zone inherit the standard brand POS configuration
3. Validate the correct full-menu page design is applied to properties in the new zone
4. Test that the limited-menu bakery and beverage-only page design is excluded from properties in the new zone
5. Check that menu items and pricing are correctly populated for properties in the new zone
Smoke tests:
1. Verify that existing zones and properties are unaffected by the new zone addition
2. Confirm that the standard brand POS configuration is still applied correctly to traditional store locations
3. Test that menu and page design changes do not impact other non-traditional store locations
Regression tests:
1. Validate that existing menu and page design functionality works as expected for all store locations
2. Verify that POS configuration changes do not affect reporting or integration with other systems
3. Test that user access controls and permissions are still enforced correctly
Integration tests:
1. Verify that the new zone is correctly integrated with the menu and page design systems
2. Test that data flows correctly between the POS hierarchy and other systems, such as inventory management and reporting
Exploratory tests:
1. Investigate how the new zone handles edge cases, such as properties with multiple menu types or page designs
2. Explore how changes to the standard brand POS configuration affect properties in the new zone
3. Test how the system behaves when a property is moved from one zone to another
Clarification flags:
1. How will the new zone be differentiated from existing zones in the POS hierarchy?
2. Are there any specific performance or scalability concerns related to the new zone addition?
3. What is the expected rollout plan for the new zone, and are there any dependencies on other system changes?
Effort estimate: 20–40 test cases
Effort notes: Estimate assumes a small QA team with some existing knowledge of the POS system</x:v>
      </x:c>
      <x:c r="E91" s="21" t="str">
        <x:v>Scorable</x:v>
      </x:c>
      <x:c r="F91" s="28" t="n">
        <x:v>4</x:v>
      </x:c>
      <x:c r="G91" s="28" t="n">
        <x:v>3</x:v>
      </x:c>
      <x:c r="H91" s="28" t="n">
        <x:v>2</x:v>
      </x:c>
      <x:c r="I91" s="28" t="n">
        <x:v>3</x:v>
      </x:c>
      <x:c r="J91" s="28" t="n">
        <x:v>2</x:v>
      </x:c>
      <x:c r="K91" s="28" t="n">
        <x:f>IF(E91&lt;&gt;"Scorable","",IF(COUNT(F91:J91)=5,SUM(F91:J91),""))</x:f>
        <x:v>14</x:v>
      </x:c>
      <x:c r="L91"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91" s="21" t="str">
        <x:f>IF(E91&lt;&gt;"Scorable","Not scorable",IF(COUNT(F91:J91)&lt;&gt;5,"Missing scores",IF(AND(COUNTIFS(F91:J91,1)+COUNTIFS(F91:J91,2)+COUNTIFS(F91:J91,5)&gt;0,L91=""),"Missing rationale","Complete")))</x:f>
        <x:v>Complete</x:v>
      </x:c>
    </x:row>
    <x:row r="92" ht="180" customHeight="1">
      <x:c r="A92" s="21" t="str">
        <x:v>RATE-9D2C6E3D411F</x:v>
      </x:c>
      <x:c r="B92" s="21" t="str">
        <x:v>SPEC-02</x:v>
      </x:c>
      <x:c r="C92"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92" s="21" t="str">
        <x:v>Coverage depth: HIGH
Depth justification: This is a payment processing firmware patch directly affecting transaction integrity and device connectivity across 6 device/POS combinations. The financial and operational risk of a defect (duplicate charges, failed transactions, data loss) is high. The matrix of 6 combinations, multiple transaction types, and the nuanced timing-sensitive nature of the disconnect/reconnect scenario all demand thorough coverage.
Functional tests:
1. Verify successful transaction completion under normal network conditions on all 6 device/POS version combinations (POS v18 + Terminal A, B, C; POS v19 + Terminal A, B, C)
2. Verify that unplugging the network cable mid-transaction causes the transaction to fail gracefully with an appropriate communication error message
3. Verify that reconnecting the network cable after a mid-transaction disconnect allows a new transaction to be initiated and completed successfully on all 6 combinations
4. Verify that the quick chip match error no longer occurs after cable reconnection on all 6 device/POS version combinations
5. Verify that multiple sequential disconnect-reconnect cycles do not degrade the terminal's ability to re-establish connection
6. Verify that partial transaction data is not committed or duplicated when a disconnect occurs mid-transaction
7. Verify that the payment terminal returns to a ready/idle state after a failed mid-transaction disconnect
8. Verify that reconnection succeeds after varying durations of cable disconnection (short: &lt;5s, medium: 30s, long: &gt;2min)
9. Verify that chip card (EMV quick chip) transactions complete successfully after reconnection on all 6 combinations
10. Verify that swipe and contactless (if supported) transactions also complete successfully after reconnection
11. Verify that the POS system correctly reflects terminal status (connected/disconnected) in real time
12. Verify that transaction receipts are generated correctly for transactions completed after reconnection
Smoke tests:
1. Verify firmware update installs successfully on Terminal models A, B, and C
2. Verify the payment terminal boots and reaches a ready state after firmware update on all 3 terminal models
3. Verify a basic end-to-end chip card transaction completes successfully on POS v18 + Terminal A post-firmware update
4. Verify a basic end-to-end chip card transaction completes successfully on POS v19 + Terminal A post-firmware update
5. Verify that unplugging and reconnecting the network cable restores terminal connectivity and allows a successful transaction on at least one representative combination
Regression tests:
1. Verify standard chip (EMV) transaction flow is unaffected by the firmware update on all 6 combinations
2. Verify magnetic stripe swipe transaction flow is unaffected on all 6 combinations
3. Verify contactless/NFC transaction flow is unaffected on all 6 combinations (if supported by terminal models)
4. Verify transaction void and refund flows function correctly post-firmware update
5. Verify end-of-day settlement/batch close process is unaffected on both POS v18 and v19
6. Verify that previously working error handling for other communication errors (e.g., timeout, device busy) is unaffected
7. Verify that the terminal correctly handles declined transactions post-firmware update
8. Verify that split-tender transactions function correctly post-firmware update
9. Verify that the POS-to-terminal pairing/initialization process is unaffected on all 6 combinations
10. Verify that transaction logging and audit trail records are complete and accurate post-firmware update
11. Verify that the firmware version number is correctly reported in device diagnostics/admin screens
Integration tests:
1. Verify end-to-end communication between POS v18 and Terminal A, B, and C using the updated firmware
2. Verify end-to-end communication between POS v19 and Terminal A, B, and C using the updated firmware
3. Verify that the POS system correctly handles the terminal's reconnection event and resumes normal transaction flow without requiring a manual restart of the POS application
4. Verify that the payment gateway/processor receives and processes transactions correctly after a reconnect event
5. Verify that network-level reconnection (TCP/IP session re-establishment) between POS and terminal is handled correctly by the updated firmware
6. Verify that no orphaned or duplicate authorization requests are sent to the payment processor during or after a disconnect event
7. Verify that the updated firmware is compatible with any middleware or payment integration layer sitting between the POS and terminal
8. Verify that terminal status events (disconnect, reconnect) are correctly propagated to the POS and any connected back-office or monitoring systems
Exploratory tests:
1. Explore behavior when the network cable is unplugged and reconnected rapidly in succession multiple times to identify any race conditions or state corruption
2. Explore behavior when the cable is disconnected at various precise moments within the quick chip transaction flow (e.g., during card read, during authorization request, during approval response)
3. Explore whether the terminal enters any unexpected locked or error state that requires a manual reboot after repeated disconnect-reconnect cycles
4. Explore behavior under high transaction volume to determine if the reconnection fix introduces any latency or throughput degradation
5. Explore edge cases where the network is restored but the upstream payment gateway is still unreachable to distinguish terminal-level vs. network-level failures
6. Explore behavior differences across all three terminal models (A, B, C) to identify any model-specific quirks introduced by the firmware patch
7. Explore whether the firmware update affects any terminal configuration settings or resets them to defaults
8. Explore the user-facing error messages and prompts displayed during and after a disconnect event for clarity and accuracy
Clarification flags:
1. Do Terminal models A, B, and C support the same transaction types (chip, swipe, contactless/NFC)? If capabilities differ, test cases need to be scoped per model.
2. Is there a specific network protocol or port used for POS-to-terminal communication that should be targeted in integration tests (e.g., TCP/IP over LAN, specific SDK/API)?
3. What is the expected reconnection behavior by design — should the terminal auto-reconnect, or does the POS need to initiate re-pairing?
4. Are there any known differences in how POS v18 and v19 handle terminal communication errors that could affect expected behavior?
5. Is there a test/staging payment gateway environment available, or will testing require a sandbox/simulator for authorization responses?
6. What is the acceptable maximum reconnection time after cable restoration — is there a defined SLA or timeout threshold?
7. Does the firmware update affect any other known issues or include any other changes beyond the reconnection fix (i.e., is this a pure single-fix patch or a broader release)?
8. Are there any specific card brands or card types (debit, credit, prepaid) that must be explicitly tested per certification or compliance requirements?
9. What rollback procedure exists if the firmware update causes issues — is downgrading to the previous firmware version supported and tested?
Effort estimate: 55–90 test cases
Effort notes: The 6 device/POS version combinations (POS v18 x Terminals A/B/C and POS v19 x Terminals A/B/C) multiply the core test cases significantly. Smoke tests can be run on a representative subset, but functional and regression tests should be executed across all 6 combinations. Exploratory testing effort will vary based on findings. Estimate assumes manual execution; automation of regression cases could reduce ongoing effort in future patch cycles.</x:v>
      </x:c>
      <x:c r="E92" s="21" t="str">
        <x:v>Scorable</x:v>
      </x:c>
      <x:c r="F92" s="28" t="n">
        <x:v>5</x:v>
      </x:c>
      <x:c r="G92" s="28" t="n">
        <x:v>5</x:v>
      </x:c>
      <x:c r="H92" s="28" t="n">
        <x:v>5</x:v>
      </x:c>
      <x:c r="I92" s="28" t="n">
        <x:v>5</x:v>
      </x:c>
      <x:c r="J92" s="28" t="n">
        <x:v>5</x:v>
      </x:c>
      <x:c r="K92" s="28" t="n">
        <x:f>IF(E92&lt;&gt;"Scorable","",IF(COUNT(F92:J92)=5,SUM(F92:J92),""))</x:f>
        <x:v>25</x:v>
      </x:c>
      <x:c r="L92"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92" s="21" t="str">
        <x:f>IF(E92&lt;&gt;"Scorable","Not scorable",IF(COUNT(F92:J92)&lt;&gt;5,"Missing scores",IF(AND(COUNTIFS(F92:J92,1)+COUNTIFS(F92:J92,2)+COUNTIFS(F92:J92,5)&gt;0,L92=""),"Missing rationale","Complete")))</x:f>
        <x:v>Complete</x:v>
      </x:c>
    </x:row>
    <x:row r="93" ht="180" customHeight="1">
      <x:c r="A93" s="21" t="str">
        <x:v>RATE-BFE5476612E5</x:v>
      </x:c>
      <x:c r="B93" s="21" t="str">
        <x:v>SPEC-15</x:v>
      </x:c>
      <x:c r="C93"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93" s="21" t="str">
        <x:v>Coverage depth: MEDIUM
Depth justification: The fix is specific to the gift card transaction cancellation messaging, but it has a moderate impact on the user experience and business operations.
Functional tests:
1. Verify that when a gift card transaction is canceled with cloud processing disabled, the POS terminal displays the correct message 'CANCEL TRANSACTION'.
2. Validate that the correct message 'CANCEL TRANSACTION' is displayed for different types of gift card transactions (e.g., purchase, refund, etc.) with cloud processing disabled.
Smoke tests:
1. Confirm that the POS terminal can successfully process a gift card transaction cancellation with cloud processing disabled.
2. Verify that the POS terminal displays the expected message when a gift card transaction is canceled and then re-processed with cloud processing disabled.
Regression tests:
1. Test that other gift card transaction types (e.g., activation, balance inquiry) are not affected by the fix with cloud processing disabled.
2. Verify that the fix does not introduce any issues with the display of other messages on the POS terminal.
Integration tests:
1. Validate that the POS terminal correctly communicates with the local system when cloud processing is disabled and a gift card transaction is canceled.
2. Test that the local system correctly updates the gift card transaction status when a cancellation is processed with cloud processing disabled.
Exploratory tests:
1. Investigate the POS terminal's behavior when a gift card transaction is canceled with cloud processing disabled and the network connection is lost or unstable.
2. Explore the effects of canceling a gift card transaction with cloud processing disabled on the terminal's performance and responsiveness.
Clarification flags:
1. Confirmation of the specific configuration files and overrides involved in the issue
2. Details on the expected behavior when cloud processing is re-enabled after the fix
3. Information on any potential dependencies or interactions with other system components
Effort estimate: 10–20 test cases
Effort notes: The estimate assumes a small QA team and a relatively straightforward testing process, with some potential for exploratory testing to uncover edge cases.</x:v>
      </x:c>
      <x:c r="E93" s="21" t="str">
        <x:v>Scorable</x:v>
      </x:c>
      <x:c r="F93" s="28" t="n">
        <x:v>4</x:v>
      </x:c>
      <x:c r="G93" s="28" t="n">
        <x:v>4</x:v>
      </x:c>
      <x:c r="H93" s="28" t="n">
        <x:v>5</x:v>
      </x:c>
      <x:c r="I93" s="28" t="n">
        <x:v>4</x:v>
      </x:c>
      <x:c r="J93" s="28" t="n">
        <x:v>2</x:v>
      </x:c>
      <x:c r="K93" s="28" t="n">
        <x:f>IF(E93&lt;&gt;"Scorable","",IF(COUNT(F93:J93)=5,SUM(F93:J93),""))</x:f>
        <x:v>19</x:v>
      </x:c>
      <x:c r="L93" s="24" t="str">
        <x:v>Risk 5: depth matches consensus and the justification is materially risk-specific; Clarification 2: a critical or multiple important consensus expectations remain weak or missing; Frozen implicit consensus elements were treated as essential where applicable.</x:v>
      </x:c>
      <x:c r="M93" s="21" t="str">
        <x:f>IF(E93&lt;&gt;"Scorable","Not scorable",IF(COUNT(F93:J93)&lt;&gt;5,"Missing scores",IF(AND(COUNTIFS(F93:J93,1)+COUNTIFS(F93:J93,2)+COUNTIFS(F93:J93,5)&gt;0,L93=""),"Missing rationale","Complete")))</x:f>
        <x:v>Complete</x:v>
      </x:c>
    </x:row>
    <x:row r="94" ht="180" customHeight="1">
      <x:c r="A94" s="21" t="str">
        <x:v>RATE-8716514A3F09</x:v>
      </x:c>
      <x:c r="B94" s="21" t="str">
        <x:v>SPEC-13</x:v>
      </x:c>
      <x:c r="C94"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94" s="21" t="str">
        <x:v>Coverage depth: MEDIUM
Depth justification: The change is a configuration update with limited scope, but it impacts critical POS functionality for a specific set of locations.
Functional tests:
1. Verify that the new zone is added successfully to the hierarchy.
2. Validate that properties assigned to the new zone inherit the standard brand POS configuration.
3. Ensure that the full-menu page design is applied to properties in the new zone.
4. Confirm that the limited-menu bakery and beverage-only page designs are not applied to properties in the new zone.
Smoke tests:
1. Verify that the POS system recognizes the new zone.
2. Check that properties in the new zone can access the standard brand configuration without errors.
Regression tests:
1. Ensure that existing zones and their configurations remain unaffected by the addition of the new zone.
2. Validate that the limited-menu page designs still apply correctly to other non-traditional zones.
Integration tests:
1. Test the integration between the hierarchy management system and the POS configuration system for the new zone.
2. Verify that the correct full-menu page design is pulled from the menu design system for properties in the new zone.
Exploratory tests:
1. Explore edge cases where properties are incorrectly assigned to the new zone and validate system behavior.
2. Test the behavior of the system when switching a property between the new zone and other zones.
Clarification flags:
1. Details on how properties are assigned to the new zone.
2. Confirmation of the expected behavior if a property is incorrectly assigned to the new zone.
3. Clarification on whether any reporting or analytics systems need to be updated for the new zone.
Effort estimate: 10–15 test cases
Effort notes: Effort is moderate due to the need for functional, integration, and regression testing across multiple systems.</x:v>
      </x:c>
      <x:c r="E94" s="21" t="str">
        <x:v>Scorable</x:v>
      </x:c>
      <x:c r="F94" s="28" t="n">
        <x:v>4</x:v>
      </x:c>
      <x:c r="G94" s="28" t="n">
        <x:v>4</x:v>
      </x:c>
      <x:c r="H94" s="28" t="n">
        <x:v>2</x:v>
      </x:c>
      <x:c r="I94" s="28" t="n">
        <x:v>4</x:v>
      </x:c>
      <x:c r="J94" s="28" t="n">
        <x:v>2</x:v>
      </x:c>
      <x:c r="K94" s="28" t="n">
        <x:f>IF(E94&lt;&gt;"Scorable","",IF(COUNT(F94:J94)=5,SUM(F94:J94),""))</x:f>
        <x:v>16</x:v>
      </x:c>
      <x:c r="L94"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94" s="21" t="str">
        <x:f>IF(E94&lt;&gt;"Scorable","Not scorable",IF(COUNT(F94:J94)&lt;&gt;5,"Missing scores",IF(AND(COUNTIFS(F94:J94,1)+COUNTIFS(F94:J94,2)+COUNTIFS(F94:J94,5)&gt;0,L94=""),"Missing rationale","Complete")))</x:f>
        <x:v>Complete</x:v>
      </x:c>
    </x:row>
    <x:row r="95" ht="180" customHeight="1">
      <x:c r="A95" s="21" t="str">
        <x:v>RATE-9CD28EEE2262</x:v>
      </x:c>
      <x:c r="B95" s="21" t="str">
        <x:v>SPEC-09</x:v>
      </x:c>
      <x:c r="C95"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95" s="21" t="str">
        <x:v>Coverage depth: MEDIUM
Depth justification: Although this is a configuration value change (typically LOW risk), the scope is elevated to MEDIUM due to: multi-environment testing requirement (UAT, Pre-Production, Production), a potential second system requiring a corresponding change, ambiguity around retroactive vs. prospective application, multi-brand impact, and the financial reporting nature of the change where incorrect markup values directly affect revenue figures.
Functional tests:
1. Verify that the delivery markup percentage for the targeted third-party delivery platform is updated from 25% to 26% in the Data Mapping settings of the reporting/analytics configuration tool
2. Confirm that the markup change is applied to both Brand A and Brand B transactions for the targeted delivery platform, and not to either brand's transactions on any other delivery platform
3. Verify that transactions dated on or after the effective date reflect the 26% markup in generated reports
4. Verify that transactions dated before the effective date retain the 25% markup in generated reports (prospective-only application), or confirm retroactive recalculation if that is the intended behaviour
5. Validate that the effective date boundary is respected: a transaction timestamped at 23:59 on the day before the effective date uses 25%, and a transaction timestamped at 00:00 on the effective date uses 26%
6. Confirm that the markup percentage displayed in the Data Mapping settings UI reflects 26% after the configuration save, with no rounding or truncation artefacts
7. Verify that saving the updated configuration does not alter any other Data Mapping settings fields for the targeted platform or any other platform
8. Confirm that the markup change does not affect delivery markup values for any other third-party delivery platforms configured in the system
Smoke tests:
1. After applying the configuration change in UAT, generate a same-day delivery report for the targeted platform and confirm the 26% markup appears in the output
2. Confirm the reporting/analytics configuration tool loads successfully and the Data Mapping settings page is accessible post-change
3. Run a quick report for a non-targeted delivery platform and confirm its markup value is unchanged
4. Confirm both brands return delivery revenue figures in at least one standard report without errors after the configuration update
Regression tests:
1. Verify that historical reports for the targeted delivery platform generated before the effective date still show 25% markup and have not been silently recalculated
2. Confirm that delivery markup calculations for all other third-party delivery platforms remain at their previously configured percentages
3. Verify that non-delivery revenue lines (e.g., dine-in, collection) for both brands are unaffected in all report outputs
4. Confirm that scheduled or automated report exports (if any) continue to run on schedule and produce correctly structured output after the configuration change
5. Verify that any cached or pre-aggregated report data is invalidated and refreshed correctly to reflect the new markup where applicable
6. Confirm that user roles and permissions within the reporting/analytics configuration tool are unchanged after the Data Mapping update
7. Verify that the data pipeline continues to ingest and process transactions from the targeted delivery platform without errors or dropped records after the configuration change
Integration tests:
1. Confirm that the data pipeline correctly passes the updated 26% markup value downstream to all dependent report outputs and dashboards for the targeted platform
2. Verify end-to-end data flow: a test transaction on the targeted delivery platform post-effective-date flows through the pipeline and appears with 26% markup in the final report
3. If the separate third-party reporting platform requires a corresponding configuration change, verify that its markup value is also updated to 26% and that its report output aligns with the internal reporting/analytics tool for the same transaction set
4. Confirm that the two systems (internal reporting/analytics tool and third-party reporting platform) produce consistent delivery revenue figures for the targeted platform after both changes are applied
5. Verify that the data pipeline does not apply the markup change to transactions from other delivery platforms when processing mixed-platform transaction batches
6. Confirm that any API or data feed between the internal system and the third-party reporting platform is not disrupted by the configuration change and continues to authenticate and transmit data correctly
Exploratory tests:
1. Probe the effective date boundary behaviour with transactions that straddle midnight on the changeover date, particularly if the system uses UTC vs. local time, to identify any timezone-related misapplication of the markup
2. Investigate whether a report spanning a date range that crosses the effective date (e.g., a monthly report) correctly applies 25% to pre-change transactions and 26% to post-change transactions within the same report output
3. Explore whether manually re-running or refreshing a historical report after the configuration change causes it to retroactively apply the 26% markup, which would be incorrect if the change is prospective-only
4. Test what happens if the configuration change is saved with an incorrect value (e.g., 2.6 instead of 26) — does the system validate input format and reject or flag the entry?
5. Investigate whether the markup change affects any derived metrics in dashboards (e.g., net revenue, margin percentages, platform fee summaries) that are calculated from the delivery markup figure
6. Probe whether both brands share a single configuration entry for the targeted platform or have separate entries — and whether updating one brand's entry inadvertently affects the other
7. Explore the audit log or change history in the configuration tool to confirm the markup change is recorded with a timestamp, the previous value, the new value, and the user who made the change
Clarification flags:
1. Is the markup change prospective only (applying to transactions from the effective date onwards) or retroactive (recalculating all historical transactions for the targeted platform)? This fundamentally changes the regression and integration test scope.
2. What is the exact effective date and time, and in which timezone does the system apply it? This is critical for boundary testing.
3. Is the separate third-party reporting platform change confirmed as in-scope for this QA cycle, and who is responsible for making that configuration change? If it requires a vendor action, QA needs access or a test environment equivalent.
4. Do Brand A and Brand B share a single Data Mapping configuration entry for the targeted delivery platform, or do they have separate entries that must each be updated independently?
5. Which specific third-party delivery platform is affected? Knowing the platform name allows QA to identify the correct transactions and filter correctly in test data.
6. What is the expected behaviour for reports that span a date range crossing the effective date — should they show blended markup values, and does the system support this natively?
7. Are there any scheduled or automated report exports, data feeds, or API consumers that pull delivery markup data and may need to be re-validated after the change?
8. Is there an audit log or change history feature in the Data Mapping settings, and is QA expected to verify it as part of this change?
9. What test data is available in UAT and Pre-Production for the targeted delivery platform for both brands, and can transactions be seeded with specific dates to test boundary conditions?
10. Is Production testing limited to read-only smoke verification, or is QA expected to validate live transaction processing in Production?
Effort estimate: 28–40 test cases
Effort notes: Lower bound assumes retroactive/prospective behaviour is clarified before testing begins and the third-party reporting platform change is confirmed as in-scope with a clear owner. Upper bound accounts for full boundary date testing across timezones, cross-date-range report validation, both brands tested independently across all three environments, and exploratory sessions. Production testing should be limited to smoke and read-only verification only. Estimate reflects manual execution by a small QA team.</x:v>
      </x:c>
      <x:c r="E95" s="21" t="str">
        <x:v>Scorable</x:v>
      </x:c>
      <x:c r="F95" s="28" t="n">
        <x:v>5</x:v>
      </x:c>
      <x:c r="G95" s="28" t="n">
        <x:v>5</x:v>
      </x:c>
      <x:c r="H95" s="28" t="n">
        <x:v>3</x:v>
      </x:c>
      <x:c r="I95" s="28" t="n">
        <x:v>5</x:v>
      </x:c>
      <x:c r="J95" s="28" t="n">
        <x:v>5</x:v>
      </x:c>
      <x:c r="K95" s="28" t="n">
        <x:f>IF(E95&lt;&gt;"Scorable","",IF(COUNT(F95:J95)=5,SUM(F95:J95),""))</x:f>
        <x:v>23</x:v>
      </x:c>
      <x:c r="L95"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Clarification 5: material consensus ambiguities are directly and actionably addressed; Frozen implicit consensus elements were treated as essential where applicable.</x:v>
      </x:c>
      <x:c r="M95" s="21" t="str">
        <x:f>IF(E95&lt;&gt;"Scorable","Not scorable",IF(COUNT(F95:J95)&lt;&gt;5,"Missing scores",IF(AND(COUNTIFS(F95:J95,1)+COUNTIFS(F95:J95,2)+COUNTIFS(F95:J95,5)&gt;0,L95=""),"Missing rationale","Complete")))</x:f>
        <x:v>Complete</x:v>
      </x:c>
    </x:row>
    <x:row r="96" ht="180" customHeight="1">
      <x:c r="A96" s="21" t="str">
        <x:v>RATE-991333039B4C</x:v>
      </x:c>
      <x:c r="B96" s="21" t="str">
        <x:v>SPEC-04</x:v>
      </x:c>
      <x:c r="C96"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96" s="21" t="str">
        <x:v>Coverage depth: HIGH
Depth justification: The feature impacts critical areas such as payment processing, financial reporting, and third-party data pipelines, requiring thorough testing to ensure accuracy and reliability.
Functional tests:
1. Verify that the catering voucher tender key is available on the POS interface.
2. Validate that transactions using the catering voucher tender key are processed correctly.
3. Ensure that the catering voucher tender key behaves like a voucher payment while maintaining in-store catering order type behavior.
4. Test the correct application of taxes and discounts when using the catering voucher tender key.
Smoke tests:
1. Confirm that the catering voucher tender key is visible and selectable on the POS.
2. Verify that a basic transaction using the catering voucher tender key completes successfully.
3. Ensure no critical errors occur when processing a catering voucher transaction.
Regression tests:
1. Validate that existing POS tender types and functionality are unaffected by the new catering voucher tender key.
2. Test the accuracy of Property Financial, Employee Financial, and Revenue Center Financial reports after introducing the catering voucher tender key.
3. Ensure analytics reports such as system sales, tender media, POS category, tax, 24h sales summary, and new tender detail remain accurate and complete.
4. Verify that third-party reporting and data flow to the business intelligence platform remain functional and accurate.
Integration tests:
1. Test the integration of the catering voucher tender key with financial reporting systems.
2. Validate the data flow and accuracy of third-party reporting for transactions using the catering voucher tender key.
3. Ensure that analytics systems correctly process and display data related to the new tender key.
Exploratory tests:
1. Explore edge cases such as partial payments using the catering voucher tender key.
2. Test high-volume transactions to identify any performance issues with the new tender key.
3. Investigate unusual scenarios, such as combining the catering voucher tender key with other payment methods.
Clarification flags:
1. Details on the expected behavior of the catering voucher tender key in edge cases (e.g., partial payments, refunds).
2. Clarification on the expected analytics and reporting changes for the new tender key.
3. Confirmation of any specific third-party reporting requirements for the catering voucher tender key.
Effort estimate: 25–40 test cases
Effort notes: The estimate includes functional, regression, integration, and exploratory test cases due to the feature's complexity and its impact on multiple system areas.</x:v>
      </x:c>
      <x:c r="E96" s="21" t="str">
        <x:v>Scorable</x:v>
      </x:c>
      <x:c r="F96" s="28" t="n">
        <x:v>3</x:v>
      </x:c>
      <x:c r="G96" s="28" t="n">
        <x:v>4</x:v>
      </x:c>
      <x:c r="H96" s="28" t="n">
        <x:v>5</x:v>
      </x:c>
      <x:c r="I96" s="28" t="n">
        <x:v>4</x:v>
      </x:c>
      <x:c r="J96" s="28" t="n">
        <x:v>4</x:v>
      </x:c>
      <x:c r="K96" s="28" t="n">
        <x:f>IF(E96&lt;&gt;"Scorable","",IF(COUNT(F96:J96)=5,SUM(F96:J96),""))</x:f>
        <x:v>20</x:v>
      </x:c>
      <x:c r="L96" s="24" t="str">
        <x:v>Risk 5: depth matches consensus and the justification is materially risk-specific; Frozen implicit consensus elements were treated as essential where applicable.</x:v>
      </x:c>
      <x:c r="M96" s="21" t="str">
        <x:f>IF(E96&lt;&gt;"Scorable","Not scorable",IF(COUNT(F96:J96)&lt;&gt;5,"Missing scores",IF(AND(COUNTIFS(F96:J96,1)+COUNTIFS(F96:J96,2)+COUNTIFS(F96:J96,5)&gt;0,L96=""),"Missing rationale","Complete")))</x:f>
        <x:v>Complete</x:v>
      </x:c>
    </x:row>
    <x:row r="97" ht="180" customHeight="1">
      <x:c r="A97" s="21" t="str">
        <x:v>RATE-682C6DA08F7A</x:v>
      </x:c>
      <x:c r="B97" s="21" t="str">
        <x:v>SPEC-02</x:v>
      </x:c>
      <x:c r="C97"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97" s="21" t="str">
        <x:v>Coverage depth: HIGH
Depth justification: Critical payment processing functionality with potential for financial loss or customer inconvenience if issues arise
Functional tests:
1. Verify successful transaction completion after reconnecting the network cable on each of the 6 device/POS version combinations (POS v18 and v19 with terminal models A, B, and C)
2. Test quick chip reconnection with multiple transaction attempts after initial failure and reconnection on each device/POS combination
3. Validate payment processing functionality with the new firmware version on all 6 device/POS combinations
Smoke tests:
1. Basic transaction test on each device/POS combination to ensure no immediate issues with the new firmware
2. Quick sanity check of payment terminal connectivity and responsiveness after firmware update on each device/POS combination
Regression tests:
1. Verify existing payment processing workflows (e.g., magstripe, contactless) are unaffected by the firmware update on each device/POS combination
2. Test payment terminal configuration and settings management to ensure no regression introduced by the firmware update
Integration tests:
1. End-to-end testing of payment processing from POS to payment terminal on each device/POS combination, focusing on network communication and reconnection scenarios
2. Integration testing with other system components that interact with the payment processing system (if applicable)
Exploratory tests:
1. Test boundary conditions such as repeated network cable disconnects and reconnects during transactions on each device/POS combination
2. Explore failure paths like transaction timeouts, payment terminal restarts during transactions, and other error scenarios on each device/POS combination
3. Investigate timing issues, such as delayed reconnections or slow network responses, on each device/POS combination
Clarification flags:
1. Specific details on the payment terminal configuration and settings management
2. Information on any other system components that integrate with the payment processing system
3. Definition of acceptable transaction timeout thresholds and error handling expectations
Effort estimate: 50–100 test cases
Effort notes: Estimate considers the need for thorough testing across 6 device/POS combinations and the critical nature of payment processing</x:v>
      </x:c>
      <x:c r="E97" s="21" t="str">
        <x:v>Scorable</x:v>
      </x:c>
      <x:c r="F97" s="28" t="n">
        <x:v>5</x:v>
      </x:c>
      <x:c r="G97" s="28" t="n">
        <x:v>4</x:v>
      </x:c>
      <x:c r="H97" s="28" t="n">
        <x:v>3</x:v>
      </x:c>
      <x:c r="I97" s="28" t="n">
        <x:v>4</x:v>
      </x:c>
      <x:c r="J97" s="28" t="n">
        <x:v>2</x:v>
      </x:c>
      <x:c r="K97" s="28" t="n">
        <x:f>IF(E97&lt;&gt;"Scorable","",IF(COUNT(F97:J97)=5,SUM(F97:J97),""))</x:f>
        <x:v>18</x:v>
      </x:c>
      <x:c r="L97" s="24" t="str">
        <x:v>Completeness 5: essentially all material consensus expectations are covered at this dimension; Clarification 2: a critical or multiple important consensus expectations remain weak or missing; Frozen implicit consensus elements were treated as essential where applicable.</x:v>
      </x:c>
      <x:c r="M97" s="21" t="str">
        <x:f>IF(E97&lt;&gt;"Scorable","Not scorable",IF(COUNT(F97:J97)&lt;&gt;5,"Missing scores",IF(AND(COUNTIFS(F97:J97,1)+COUNTIFS(F97:J97,2)+COUNTIFS(F97:J97,5)&gt;0,L97=""),"Missing rationale","Complete")))</x:f>
        <x:v>Complete</x:v>
      </x:c>
    </x:row>
    <x:row r="98" ht="180" customHeight="1">
      <x:c r="A98" s="21" t="str">
        <x:v>RATE-D185B6A7EEB2</x:v>
      </x:c>
      <x:c r="B98" s="21" t="str">
        <x:v>SPEC-12</x:v>
      </x:c>
      <x:c r="C98"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98" s="21" t="str">
        <x:v>Coverage depth: MEDIUM
Depth justification: The change is a layout enhancement with minimal functional impact, but it affects a critical financial reporting area requiring thorough validation.
Functional tests:
1. Verify that the Third-Party Delivery Partner detailed sales data section is relocated to the bottom of the report below the Rewards section.
2. Ensure that the summary-level delivery sales in the Order Type section remain unchanged and display correctly.
3. Check that the Tender Media, Group Sales, Discounts, and Service Charges sections now appear immediately after the Order Type section.
4. Validate that the report layout is consistent across different property types and configurations.
Smoke tests:
1. Confirm that the report generates without errors after the layout change.
2. Verify that the Third-Party Delivery Partner detailed sales data section appears at the bottom of the report.
Regression tests:
1. Ensure that all existing sections in the Property Financial Report are displayed correctly and in the correct order.
2. Validate that the data in the Third-Party Delivery Partner detailed sales data section is accurate and matches pre-change reports.
3. Check that the summary-level delivery sales in the Order Type section remain accurate and unchanged.
Integration tests:
1. Verify that the report layout change does not affect data integration with external systems or tools that consume the report.
2. Ensure that the report layout change does not impact data export functionality (e.g., PDF, Excel).
Exploratory tests:
1. Explore edge cases such as reports with no Third-Party Delivery Partner data to ensure the layout remains consistent.
2. Test reports with unusually large data sets to confirm the layout change does not cause formatting issues.
3. Investigate the impact of the layout change on different report templates or customizations.
Clarification flags:
1. Are there any specific formatting requirements for the relocated section?
2. Should the layout change be tested across all supported report output formats (e.g., PDF, Excel, web view)?
3. Are there any dependencies or integrations that might be affected by the layout change?
Effort estimate: 10–20 test cases
Effort notes: Effort includes verifying layout changes, regression testing for existing functionality, and exploratory testing for edge cases.</x:v>
      </x:c>
      <x:c r="E98" s="21" t="str">
        <x:v>Scorable</x:v>
      </x:c>
      <x:c r="F98" s="28" t="n">
        <x:v>4</x:v>
      </x:c>
      <x:c r="G98" s="28" t="n">
        <x:v>4</x:v>
      </x:c>
      <x:c r="H98" s="28" t="n">
        <x:v>4</x:v>
      </x:c>
      <x:c r="I98" s="28" t="n">
        <x:v>2</x:v>
      </x:c>
      <x:c r="J98" s="28" t="n">
        <x:v>3</x:v>
      </x:c>
      <x:c r="K98" s="28" t="n">
        <x:f>IF(E98&lt;&gt;"Scorable","",IF(COUNT(F98:J98)=5,SUM(F98:J98),""))</x:f>
        <x:v>17</x:v>
      </x:c>
      <x:c r="L98" s="24" t="str">
        <x:v>Integration 2: a critical or multiple important consensus expectations remain weak or missing; Frozen implicit consensus elements were treated as essential where applicable.</x:v>
      </x:c>
      <x:c r="M98" s="21" t="str">
        <x:f>IF(E98&lt;&gt;"Scorable","Not scorable",IF(COUNT(F98:J98)&lt;&gt;5,"Missing scores",IF(AND(COUNTIFS(F98:J98,1)+COUNTIFS(F98:J98,2)+COUNTIFS(F98:J98,5)&gt;0,L98=""),"Missing rationale","Complete")))</x:f>
        <x:v>Complete</x:v>
      </x:c>
    </x:row>
    <x:row r="99" ht="180" customHeight="1">
      <x:c r="A99" s="21" t="str">
        <x:v>RATE-389B8F0A3483</x:v>
      </x:c>
      <x:c r="B99" s="21" t="str">
        <x:v>SPEC-18</x:v>
      </x:c>
      <x:c r="C99"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99" s="21" t="str">
        <x:v>Coverage depth: HIGH
Depth justification: The feature directly impacts employee communication and the clock-in workflow, which are critical to store operations. It also introduces new integration points and potential regression risks in the POS system.
Functional tests:
1. Verify that a manager can create a new notification with a title, message body, and schedule time.
2. Verify that notifications are displayed on the POS workstation screen when a crew member clocks in.
3. Verify that notifications can be edited by the manager before their scheduled time.
4. Verify that notifications can be deleted by the manager before their scheduled time.
5. Verify that notifications are not displayed outside their scheduled time range.
6. Verify that multiple notifications scheduled for the same time are displayed sequentially or as per the design specification.
7. Verify that notifications are stored and retrieved correctly from the notification management system.
Smoke tests:
1. Verify that the POS workstation boots up and functions normally with the notification feature enabled.
2. Verify that a basic notification is displayed correctly when a crew member clocks in.
3. Verify that the notification scheduling interface is accessible to managers.
Regression tests:
1. Verify that the employee clock-in workflow functions correctly without delays or errors.
2. Verify that the POS workstation continues to process transactions correctly after a notification is displayed.
3. Verify that existing POS workstation features, such as loyalty program prompts and upsell suggestions, are not impacted by the notification feature.
Integration tests:
1. Verify that notifications created in the management interface are correctly synced to the POS workstation.
2. Verify that the POS workstation retrieves and displays notifications from the central notification management system.
3. Verify that notifications are correctly associated with the clock-in event of the appropriate crew member.
4. Verify that the notification scheduling system handles time zone differences correctly.
Exploratory tests:
1. Test how the system handles a large number of notifications scheduled at the same time.
2. Test the behavior when a notification contains special characters, emojis, or very long text.
3. Test the system's behavior when the POS workstation is offline during the scheduled notification time and comes back online later.
4. Test the behavior when a crew member clocks in multiple times within a short period.
5. Test the system's response to invalid or corrupted notification data.
Clarification flags:
1. Details on how notifications are displayed (e.g., modal, banner, or full-screen).
2. Expected behavior when multiple notifications are scheduled for the same time.
3. Specifications for handling offline scenarios (e.g., POS workstation offline during notification time).
4. Any constraints on notification content (e.g., character limits, supported formats).
Effort estimate: 20–30 test cases
Effort notes: The estimate accounts for functional, regression, integration, and exploratory testing. The high coverage depth and integration complexity require thorough testing.</x:v>
      </x:c>
      <x:c r="E99" s="21" t="str">
        <x:v>Scorable</x:v>
      </x:c>
      <x:c r="F99" s="28" t="n">
        <x:v>5</x:v>
      </x:c>
      <x:c r="G99" s="28" t="n">
        <x:v>4</x:v>
      </x:c>
      <x:c r="H99" s="28" t="n">
        <x:v>4</x:v>
      </x:c>
      <x:c r="I99" s="28" t="n">
        <x:v>5</x:v>
      </x:c>
      <x:c r="J99" s="28" t="n">
        <x:v>2</x:v>
      </x:c>
      <x:c r="K99" s="28" t="n">
        <x:f>IF(E99&lt;&gt;"Scorable","",IF(COUNT(F99:J99)=5,SUM(F99:J99),""))</x:f>
        <x:v>20</x:v>
      </x:c>
      <x:c r="L99" s="24" t="str">
        <x:v>Completeness 5: essentially all material consensus expectations are covered at this dimension; Integration 5: essentially all material consensus expectations are covered at this dimension; Clarification 2: a critical or multiple important consensus expectations remain weak or missing; Frozen implicit consensus elements were treated as essential where applicable.</x:v>
      </x:c>
      <x:c r="M99" s="21" t="str">
        <x:f>IF(E99&lt;&gt;"Scorable","Not scorable",IF(COUNT(F99:J99)&lt;&gt;5,"Missing scores",IF(AND(COUNTIFS(F99:J99,1)+COUNTIFS(F99:J99,2)+COUNTIFS(F99:J99,5)&gt;0,L99=""),"Missing rationale","Complete")))</x:f>
        <x:v>Complete</x:v>
      </x:c>
    </x:row>
    <x:row r="100" ht="180" customHeight="1">
      <x:c r="A100" s="21" t="str">
        <x:v>RATE-15A3934309CD</x:v>
      </x:c>
      <x:c r="B100" s="21" t="str">
        <x:v>SPEC-08</x:v>
      </x:c>
      <x:c r="C100"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00" s="21" t="str">
        <x:v>Coverage depth: HIGH
Depth justification: The change directly impacts fraud prevention, a critical security concern, and affects multiple roles and workflows across two brands.
Functional tests:
1. Verify that roles in Brand A (Shift Lead standard, Shift Lead plus, Assistant Manager, Manager, Multi-Unit, Field Engineer) are unable to void an empty check.
2. Verify that roles in Brand B (Franchisee, Manager, Shift Leader) are unable to void an empty check.
3. Verify that roles in Brand A (Crew, Crew Plus) and Brand B (Crew Member, Senior Crew Member) continue to require authorization for voiding an empty check.
4. Verify that voiding individual items in a check is still permitted for all roles.
5. Verify that transaction returns are still permitted for all roles.
6. Verify that opening closed checks is still permitted for all roles.
Smoke tests:
1. Confirm that a Shift Lead standard in Brand A cannot void an empty check.
2. Confirm that a Franchisee in Brand B cannot void an empty check.
3. Confirm that a Crew Member in Brand B still requires authorization to void an empty check.
Regression tests:
1. Verify that voiding a check with items (non-empty check) is still permitted for all roles.
2. Verify that the system correctly logs void attempts for empty checks by restricted roles.
3. Verify that the system does not introduce delays or errors in processing voids for non-empty checks.
4. Verify that the fraud prevention option bit does not affect other unrelated role-based permissions.
Integration tests:
1. Verify that the POS system correctly enforces the restriction when integrated with the transaction management backend.
2. Verify that audit logs in the transaction management system reflect void attempts on empty checks by restricted roles.
3. Verify that role-based access control changes synchronize correctly across both Brand A and Brand B systems.
Exploratory tests:
1. Attempt to void an empty check using a food item order for each restricted role and observe system behavior.
2. Attempt to void an empty check using a beverage order to confirm the restriction does not apply.
3. Test timing scenarios where a role's permissions are updated while a void attempt is in progress.
4. Simulate network latency or disconnection during a void attempt on an empty check and observe system behavior.
5. Test edge cases where a check is partially voided and then emptied to confirm the restriction applies.
Clarification flags:
1. Clarify if there are any specific audit log requirements for void attempts on empty checks.
2. Confirm if there are any additional roles or brands not listed in the specification that need testing.
3. Clarify if there are specific performance benchmarks for void operations post-change.
Effort estimate: 15–25 test cases
Effort notes: The estimate accounts for functional, regression, and integration tests, with additional exploratory scenarios to cover edge cases and timing issues.</x:v>
      </x:c>
      <x:c r="E100" s="21" t="str">
        <x:v>Scorable</x:v>
      </x:c>
      <x:c r="F100" s="28" t="n">
        <x:v>3</x:v>
      </x:c>
      <x:c r="G100" s="28" t="n">
        <x:v>3</x:v>
      </x:c>
      <x:c r="H100" s="28" t="n">
        <x:v>4</x:v>
      </x:c>
      <x:c r="I100" s="28" t="n">
        <x:v>3</x:v>
      </x:c>
      <x:c r="J100" s="28" t="n">
        <x:v>3</x:v>
      </x:c>
      <x:c r="K100" s="28" t="n">
        <x:f>IF(E100&lt;&gt;"Scorable","",IF(COUNT(F100:J100)=5,SUM(F100:J100),""))</x:f>
        <x:v>16</x:v>
      </x:c>
      <x:c r="L100" s="24" t="str">
        <x:v>Frozen implicit consensus elements were treated as essential where applicable.</x:v>
      </x:c>
      <x:c r="M100" s="21" t="str">
        <x:f>IF(E100&lt;&gt;"Scorable","Not scorable",IF(COUNT(F100:J100)&lt;&gt;5,"Missing scores",IF(AND(COUNTIFS(F100:J100,1)+COUNTIFS(F100:J100,2)+COUNTIFS(F100:J100,5)&gt;0,L100=""),"Missing rationale","Complete")))</x:f>
        <x:v>Complete</x:v>
      </x:c>
    </x:row>
    <x:row r="101" ht="180" customHeight="1">
      <x:c r="A101" s="21" t="str">
        <x:v>RATE-EA9893628B3F</x:v>
      </x:c>
      <x:c r="B101" s="21" t="str">
        <x:v>SPEC-09</x:v>
      </x:c>
      <x:c r="C101"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101" s="21" t="str">
        <x:v>Coverage depth: LOW
Depth justification: The change is a configuration update to a specific percentage value, which is a low-risk change type
Functional tests:
1. Verify the updated delivery markup percentage (26%) is applied correctly for the specified third-party delivery platform in the reporting and analytics configuration tool
2. Confirm the change only affects the specified third-party delivery platform and not other platforms
3. Test that the markup change applies to both brands as expected
4. Check the effective date of the change and verify it is applied correctly for transactions on or after that date
5. Determine and verify whether the markup change is applied retroactively to prior transactions or only prospectively
Smoke tests:
1. Quickly verify that other delivery platforms are not affected by the change
2. Check that the reporting and analytics configuration tool still functions as expected after the change
3. Confirm that data pipeline processes are not disrupted by the configuration change
Regression tests:
1. Re-test existing reports and analytics to ensure they still function correctly with the updated markup percentage
2. Verify that historical data is handled correctly and not altered by the change
3. Confirm that the updated markup percentage does not cause any errors in the data pipeline
Integration tests:
1. Test end-to-end data flow from transaction creation through to reporting and analytics with the updated markup percentage
2. Verify integration with the separate third-party reporting platform, if applicable, to ensure corresponding changes are made on their side
Exploratory tests:
1. Test edge cases, such as transactions that span the effective date of the change
2. Explore how the change affects reporting and analytics for transactions with multiple delivery platforms involved
Clarification flags:
1. Confirmation on whether the markup change applies retroactively or prospectively
2. Details on the separate third-party reporting platform's requirements and timeline for corresponding changes
3. Specific test data and scenarios for edge cases, such as transactions spanning the effective date of the change
Effort estimate: 15–30 test cases
Effort notes: Effort estimate is relatively low due to the targeted nature of the change, but requires testing across multiple environments</x:v>
      </x:c>
      <x:c r="E101" s="21" t="str">
        <x:v>Scorable</x:v>
      </x:c>
      <x:c r="F101" s="28" t="n">
        <x:v>4</x:v>
      </x:c>
      <x:c r="G101" s="28" t="n">
        <x:v>4</x:v>
      </x:c>
      <x:c r="H101" s="28" t="n">
        <x:v>1</x:v>
      </x:c>
      <x:c r="I101" s="28" t="n">
        <x:v>4</x:v>
      </x:c>
      <x:c r="J101" s="28" t="n">
        <x:v>5</x:v>
      </x:c>
      <x:c r="K101" s="28" t="n">
        <x:f>IF(E101&lt;&gt;"Scorable","",IF(COUNT(F101:J101)=5,SUM(F101:J101),""))</x:f>
        <x:v>18</x:v>
      </x:c>
      <x:c r="L101" s="24" t="str">
        <x:v>Risk 1: the recommendation is fundamentally inadequate for this dimension; Clarification 5: material consensus ambiguities are directly and actionably addressed; Frozen implicit consensus elements were treated as essential where applicable.</x:v>
      </x:c>
      <x:c r="M101" s="21" t="str">
        <x:f>IF(E101&lt;&gt;"Scorable","Not scorable",IF(COUNT(F101:J101)&lt;&gt;5,"Missing scores",IF(AND(COUNTIFS(F101:J101,1)+COUNTIFS(F101:J101,2)+COUNTIFS(F101:J101,5)&gt;0,L101=""),"Missing rationale","Complete")))</x:f>
        <x:v>Complete</x:v>
      </x:c>
    </x:row>
    <x:row r="102" ht="180" customHeight="1">
      <x:c r="A102" s="21" t="str">
        <x:v>RATE-60C35D5C0255</x:v>
      </x:c>
      <x:c r="B102" s="21" t="str">
        <x:v>SPEC-08</x:v>
      </x:c>
      <x:c r="C102"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02" s="21" t="str">
        <x:v>Terminal invalid JSON. This observation is retained as a structural failure and receives no rubric score.</x:v>
      </x:c>
      <x:c r="E102" s="21" t="str">
        <x:v>Not scorable — terminal invalid JSON</x:v>
      </x:c>
      <x:c r="F102" s="29"/>
      <x:c r="G102" s="29"/>
      <x:c r="H102" s="29"/>
      <x:c r="I102" s="29"/>
      <x:c r="J102" s="29"/>
      <x:c r="K102" s="29" t="str">
        <x:f>IF(E102&lt;&gt;"Scorable","",IF(COUNT(F102:J102)=5,SUM(F102:J102),""))</x:f>
      </x:c>
      <x:c r="L102" s="26"/>
      <x:c r="M102" s="21" t="str">
        <x:f>IF(E102&lt;&gt;"Scorable","Not scorable",IF(COUNT(F102:J102)&lt;&gt;5,"Missing scores",IF(AND(COUNTIFS(F102:J102,1)+COUNTIFS(F102:J102,2)+COUNTIFS(F102:J102,5)&gt;0,L102=""),"Missing rationale","Complete")))</x:f>
        <x:v>Not scorable</x:v>
      </x:c>
    </x:row>
    <x:row r="103" ht="180" customHeight="1">
      <x:c r="A103" s="21" t="str">
        <x:v>RATE-FF0483C96BBC</x:v>
      </x:c>
      <x:c r="B103" s="21" t="str">
        <x:v>SPEC-01</x:v>
      </x:c>
      <x:c r="C103"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103" s="21" t="str">
        <x:v>Coverage depth: MEDIUM
Depth justification: The bug fix affects a critical integration between the POS and online ordering platform, but the impact is limited to the availability of specific menu items.
Functional tests:
1. Mark a menu item as Out of Stock on the POS and verify it displays as Out of Stock immediately.
2. Mark a menu item as Out of Stock on the POS, wait for the sync interval, and verify it is not orderable on the online web and mobile ordering apps.
3. Remove the Out of Stock flag from a menu item on the POS, save the changes, and verify the item becomes visible and orderable again on both POS and online ordering apps.
Smoke tests:
1. Verify that the online ordering portal still functions and allows ordering of other available menu items after a menu item is marked as Out of Stock.
2. Verify that the POS still functions correctly for other menu items after a menu item is marked as Out of Stock.
Regression tests:
1. Verify that marking a menu item as Out of Stock on the POS does not affect the availability of other menu items on the online ordering portal.
2. Verify that removing the Out of Stock flag from a menu item on the POS does not affect the availability of other menu items on the online ordering portal.
Integration tests:
1. Verify that the menu sync interval is correctly configured and that changes to menu item availability are propagated to the online ordering portal within the expected timeframe.
2. Verify that the online ordering portal correctly handles cases where multiple menu items are marked as Out of Stock simultaneously.
Exploratory tests:
1. Test the boundary case where a menu item is marked as Out of Stock and then immediately made available again, verifying that the online ordering portal reflects these changes correctly.
2. Test the failure path where a menu item is marked as Out of Stock, but the sync interval fails or is delayed, verifying that the online ordering portal eventually reflects the correct availability.
Clarification flags:
1. The exact sync interval timeframe and how it is configured
2. Any specific error handling or messaging requirements for cases where a customer attempts to order an Out of Stock item
3. How the online ordering portal handles cases where a menu item is partially available (e.g., available in certain quantities or locations)
Effort estimate: 10–20 test cases
Effort notes: The estimate assumes a small QA team with existing knowledge of the system and a focus on verifying the specific bug fix and adjacent workflows.</x:v>
      </x:c>
      <x:c r="E103" s="21" t="str">
        <x:v>Scorable</x:v>
      </x:c>
      <x:c r="F103" s="28" t="n">
        <x:v>3</x:v>
      </x:c>
      <x:c r="G103" s="28" t="n">
        <x:v>4</x:v>
      </x:c>
      <x:c r="H103" s="28" t="n">
        <x:v>3</x:v>
      </x:c>
      <x:c r="I103" s="28" t="n">
        <x:v>3</x:v>
      </x:c>
      <x:c r="J103" s="28" t="n">
        <x:v>2</x:v>
      </x:c>
      <x:c r="K103" s="28" t="n">
        <x:f>IF(E103&lt;&gt;"Scorable","",IF(COUNT(F103:J103)=5,SUM(F103:J103),""))</x:f>
        <x:v>15</x:v>
      </x:c>
      <x:c r="L103" s="24" t="str">
        <x:v>Clarification 2: a critical or multiple important consensus expectations remain weak or missing; Frozen implicit consensus elements were treated as essential where applicable.</x:v>
      </x:c>
      <x:c r="M103" s="21" t="str">
        <x:f>IF(E103&lt;&gt;"Scorable","Not scorable",IF(COUNT(F103:J103)&lt;&gt;5,"Missing scores",IF(AND(COUNTIFS(F103:J103,1)+COUNTIFS(F103:J103,2)+COUNTIFS(F103:J103,5)&gt;0,L103=""),"Missing rationale","Complete")))</x:f>
        <x:v>Complete</x:v>
      </x:c>
    </x:row>
    <x:row r="104" ht="180" customHeight="1">
      <x:c r="A104" s="21" t="str">
        <x:v>RATE-B154F8891A1C</x:v>
      </x:c>
      <x:c r="B104" s="21" t="str">
        <x:v>SPEC-05</x:v>
      </x:c>
      <x:c r="C104"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104" s="21" t="str">
        <x:v>Coverage depth: MEDIUM
Depth justification: New feature addition with moderate complexity and potential impact on existing functionality
Functional tests:
1. Verify the new extra-large size tier is visible and selectable for iced coffee, iced latte, and refreshers on the menu
2. Test that the default price for the extra-large size is correctly calculated as 2x the medium beverage price for each drink type
3. Validate that the threshold pricing tier is correctly applied for the new size
4. Confirm that the default modifier count is 6 for the extra-large size
5. Check that all modifications remain available for the extra-large size
6. Verify that seasonal hero build variants are correctly added for specific items and function as expected
Smoke tests:
1. Verify that existing menu items and sizes are unaffected by the addition of the new size tier
2. Test that the POS ordering system can handle the new size tier without errors
3. Check that the pricing engine correctly calculates prices for the new size tier in combination with various modifiers
Regression tests:
1. Test that existing pricing rules and discounts are still applied correctly for all menu items and sizes
2. Verify that the menu configuration and POS ordering systems still function correctly for all existing menu items and sizes
3. Confirm that the addition of the new size tier does not affect the functionality of other system features, such as inventory management or reporting
Integration tests:
1. Test the end-to-end workflow for ordering an extra-large iced coffee, iced latte, or refresher, including pricing and payment processing
2. Verify that the new size tier is correctly integrated with the pricing engine and threshold pricing rules
3. Check that the menu configuration system correctly updates the POS ordering system with the new size tier information
Exploratory tests:
1. Test the behavior of the system when a user attempts to modify an extra-large drink with an invalid or unsupported modifier
2. Explore the pricing and functionality of the new size tier in combination with various promotions or discounts
3. Investigate the system's behavior when a user orders multiple extra-large drinks with different modifiers
Clarification flags:
1. How will the new size tier be displayed in the menu configuration system?
2. Are there any specific requirements or restrictions for the seasonal hero build variants?
3. How will the system handle pricing and inventory management for the new size tier during promotions or discounts?
Effort estimate: 20–40 test cases
Effort notes: Estimate assumes a small QA team with some existing knowledge of the system and its functionality</x:v>
      </x:c>
      <x:c r="E104" s="21" t="str">
        <x:v>Scorable</x:v>
      </x:c>
      <x:c r="F104" s="28" t="n">
        <x:v>4</x:v>
      </x:c>
      <x:c r="G104" s="28" t="n">
        <x:v>4</x:v>
      </x:c>
      <x:c r="H104" s="28" t="n">
        <x:v>2</x:v>
      </x:c>
      <x:c r="I104" s="28" t="n">
        <x:v>4</x:v>
      </x:c>
      <x:c r="J104" s="28" t="n">
        <x:v>3</x:v>
      </x:c>
      <x:c r="K104" s="28" t="n">
        <x:f>IF(E104&lt;&gt;"Scorable","",IF(COUNT(F104:J104)=5,SUM(F104:J104),""))</x:f>
        <x:v>17</x:v>
      </x:c>
      <x:c r="L104" s="24" t="str">
        <x:v>Risk 2: a critical or multiple important consensus expectations remain weak or missing; Frozen implicit consensus elements were treated as essential where applicable.</x:v>
      </x:c>
      <x:c r="M104" s="21" t="str">
        <x:f>IF(E104&lt;&gt;"Scorable","Not scorable",IF(COUNT(F104:J104)&lt;&gt;5,"Missing scores",IF(AND(COUNTIFS(F104:J104,1)+COUNTIFS(F104:J104,2)+COUNTIFS(F104:J104,5)&gt;0,L104=""),"Missing rationale","Complete")))</x:f>
        <x:v>Complete</x:v>
      </x:c>
    </x:row>
    <x:row r="105" ht="180" customHeight="1">
      <x:c r="A105" s="21" t="str">
        <x:v>RATE-A0E0DFED34CC</x:v>
      </x:c>
      <x:c r="B105" s="21" t="str">
        <x:v>SPEC-14</x:v>
      </x:c>
      <x:c r="C105"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05" s="21" t="str">
        <x:v>Coverage depth: HIGH
Depth justification: New version of the application with potential behavior changes and compatibility testing on multiple devices and OS versions
Functional tests:
1. Validate standard app functionality on Gen 10 and Gen 11 tablets with iOS 18.5
2. Validate standard app functionality on Gen 10 and Gen 11 tablets with iOS 26.1
3. Test behavior changes introduced in the new version on both iOS versions and tablet generations
Smoke tests:
1. Basic app launch and navigation on Gen 10 and Gen 11 tablets with iOS 18.5
2. Basic app launch and navigation on Gen 10 and Gen 11 tablets with iOS 26.1
Regression tests:
1. Re-test existing test cases on Gen 10 and Gen 11 tablets with iOS 18.5 to ensure no functionality regression
2. Re-test existing test cases on Gen 10 and Gen 11 tablets with iOS 26.1 to ensure no functionality regression
Integration tests:
1. Test integration with other systems and services on Gen 10 and Gen 11 tablets with iOS 18.5
2. Test integration with other systems and services on Gen 10 and Gen 11 tablets with iOS 26.1
Exploratory tests:
1. Explore app behavior on Gen 10 and Gen 11 tablets with iOS 18.5 for any unexpected issues
2. Explore app behavior on Gen 10 and Gen 11 tablets with iOS 26.1 for any unexpected issues
Clarification flags:
1. Vendor release notes are pending and may affect testing scope and approach
2. Confirmation of testing environment setup for iOS 26.1 is required
Effort estimate: 50–100 test cases
Effort notes: Estimate may vary based on the complexity of behavior changes and the number of integration points</x:v>
      </x:c>
      <x:c r="E105" s="21" t="str">
        <x:v>Scorable</x:v>
      </x:c>
      <x:c r="F105" s="28" t="n">
        <x:v>2</x:v>
      </x:c>
      <x:c r="G105" s="28" t="n">
        <x:v>2</x:v>
      </x:c>
      <x:c r="H105" s="28" t="n">
        <x:v>4</x:v>
      </x:c>
      <x:c r="I105" s="28" t="n">
        <x:v>2</x:v>
      </x:c>
      <x:c r="J105" s="28" t="n">
        <x:v>3</x:v>
      </x:c>
      <x:c r="K105" s="28" t="n">
        <x:f>IF(E105&lt;&gt;"Scorable","",IF(COUNT(F105:J105)=5,SUM(F105:J105),""))</x:f>
        <x:v>13</x:v>
      </x:c>
      <x:c r="L105" s="24" t="str">
        <x:v>Completeness 2: a critical or multiple important consensus expectations remain weak or missing; Specificity 2: a critical or multiple important consensus expectations remain weak or missing; Integration 2: a critical or multiple important consensus expectations remain weak or missing; Frozen implicit consensus elements were treated as essential where applicable.</x:v>
      </x:c>
      <x:c r="M105" s="21" t="str">
        <x:f>IF(E105&lt;&gt;"Scorable","Not scorable",IF(COUNT(F105:J105)&lt;&gt;5,"Missing scores",IF(AND(COUNTIFS(F105:J105,1)+COUNTIFS(F105:J105,2)+COUNTIFS(F105:J105,5)&gt;0,L105=""),"Missing rationale","Complete")))</x:f>
        <x:v>Complete</x:v>
      </x:c>
    </x:row>
    <x:row r="106" ht="180" customHeight="1">
      <x:c r="A106" s="21" t="str">
        <x:v>RATE-053118F55410</x:v>
      </x:c>
      <x:c r="B106" s="21" t="str">
        <x:v>SPEC-04</x:v>
      </x:c>
      <x:c r="C106"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06" s="21" t="str">
        <x:v>Terminal invalid JSON. This observation is retained as a structural failure and receives no rubric score.</x:v>
      </x:c>
      <x:c r="E106" s="21" t="str">
        <x:v>Not scorable — terminal invalid JSON</x:v>
      </x:c>
      <x:c r="F106" s="29"/>
      <x:c r="G106" s="29"/>
      <x:c r="H106" s="29"/>
      <x:c r="I106" s="29"/>
      <x:c r="J106" s="29"/>
      <x:c r="K106" s="29" t="str">
        <x:f>IF(E106&lt;&gt;"Scorable","",IF(COUNT(F106:J106)=5,SUM(F106:J106),""))</x:f>
      </x:c>
      <x:c r="L106" s="26"/>
      <x:c r="M106" s="21" t="str">
        <x:f>IF(E106&lt;&gt;"Scorable","Not scorable",IF(COUNT(F106:J106)&lt;&gt;5,"Missing scores",IF(AND(COUNTIFS(F106:J106,1)+COUNTIFS(F106:J106,2)+COUNTIFS(F106:J106,5)&gt;0,L106=""),"Missing rationale","Complete")))</x:f>
        <x:v>Not scorable</x:v>
      </x:c>
    </x:row>
    <x:row r="107" ht="180" customHeight="1">
      <x:c r="A107" s="21" t="str">
        <x:v>RATE-A1E74989BC91</x:v>
      </x:c>
      <x:c r="B107" s="21" t="str">
        <x:v>SPEC-03</x:v>
      </x:c>
      <x:c r="C107"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07" s="21" t="str">
        <x:v>Coverage depth: HIGH
Depth justification: New hardware rollout requires thorough testing to ensure compatibility, performance, and reliability
Functional tests:
1. Verify Wi-Fi 7 access point connectivity for staff/management devices
2. Verify Wi-Fi 7 access point connectivity for brand-approved devices
3. Verify Wi-Fi 7 access point connectivity for POS/line-busting tablets
4. Verify Wi-Fi 7 access point connectivity for guest devices
5. Test roaming and handover between Wi-Fi 7 access points
6. Test Wi-Fi 7 access point performance under heavy network load
Smoke tests:
1. Basic connectivity test for Wi-Fi 7 access points
2. Power cycle test for Wi-Fi 7 access points
3. Firmware upgrade test for Wi-Fi 7 access points
Regression tests:
1. Verify that existing network services are unaffected by Wi-Fi 7 access point rollout
2. Test compatibility with existing network devices and infrastructure
3. Verify that security features and settings are retained after Wi-Fi 7 access point rollout
Integration tests:
1. Test integration with line-busting tablets and POS systems
2. Test integration with staff/management devices and network services
3. Test integration with brand-approved devices and guest network
Exploratory tests:
1. Explore Wi-Fi 7 access point configuration and management options
2. Test Wi-Fi 7 access point behavior under various network conditions and scenarios
Clarification flags:
1. Confirmation of Wi-Fi 7 access point firmware version and configuration
2. Details of network templates and settings for primary and secondary networks
3. List of approved devices for testing on brand-approved device network
Effort estimate: 50–100 test cases
Effort notes: Effort estimate may vary depending on the complexity of test cases and the number of network types to be tested</x:v>
      </x:c>
      <x:c r="E107" s="21" t="str">
        <x:v>Scorable</x:v>
      </x:c>
      <x:c r="F107" s="28" t="n">
        <x:v>3</x:v>
      </x:c>
      <x:c r="G107" s="28" t="n">
        <x:v>3</x:v>
      </x:c>
      <x:c r="H107" s="28" t="n">
        <x:v>4</x:v>
      </x:c>
      <x:c r="I107" s="28" t="n">
        <x:v>3</x:v>
      </x:c>
      <x:c r="J107" s="28" t="n">
        <x:v>1</x:v>
      </x:c>
      <x:c r="K107" s="28" t="n">
        <x:f>IF(E107&lt;&gt;"Scorable","",IF(COUNT(F107:J107)=5,SUM(F107:J107),""))</x:f>
        <x:v>14</x:v>
      </x:c>
      <x:c r="L107" s="24" t="str">
        <x:v>Clarification 1: the recommendation is fundamentally inadequate for this dimension; Frozen implicit consensus elements were treated as essential where applicable.</x:v>
      </x:c>
      <x:c r="M107" s="21" t="str">
        <x:f>IF(E107&lt;&gt;"Scorable","Not scorable",IF(COUNT(F107:J107)&lt;&gt;5,"Missing scores",IF(AND(COUNTIFS(F107:J107,1)+COUNTIFS(F107:J107,2)+COUNTIFS(F107:J107,5)&gt;0,L107=""),"Missing rationale","Complete")))</x:f>
        <x:v>Complete</x:v>
      </x:c>
    </x:row>
    <x:row r="108" ht="180" customHeight="1">
      <x:c r="A108" s="21" t="str">
        <x:v>RATE-CE617FD77763</x:v>
      </x:c>
      <x:c r="B108" s="21" t="str">
        <x:v>SPEC-13</x:v>
      </x:c>
      <x:c r="C108"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08" s="21" t="str">
        <x:v>Coverage depth: MEDIUM
Depth justification: The change impacts a specific subset of stores (non-traditional with full-menu), and while the business impact is moderate, the regression surface is limited to configuration and page design inheritance.
Functional tests:
1. Verify that properties assigned to the new zone inherit the standard brand POS configuration.
2. Verify that properties assigned to the new zone display the full-menu page design.
3. Verify that properties assigned to the new zone do not display the limited-menu bakery and beverage-only page designs.
4. Verify that properties not assigned to the new zone continue to display their respective configurations and page designs.
Smoke tests:
1. Check that the new zone appears in the hierarchy configuration interface.
2. Check that properties can be successfully assigned to the new zone.
3. Check that the POS system does not crash or show errors when a property is assigned to the new zone.
Regression tests:
1. Verify that existing zones and their configurations remain unchanged.
2. Verify that properties in other non-traditional zones still display the limited-menu bakery and beverage-only page designs.
3. Verify that properties in traditional zones still display the standard brand POS configuration and full-menu page design.
Integration tests:
1. Verify that the new zone configuration is correctly synchronized across all POS terminals in a property assigned to the new zone.
2. Verify that the correct full-menu page design is downloaded and displayed on POS terminals for properties in the new zone.
3. Verify that the hierarchy and zone configuration changes are correctly reflected in the central POS management system.
Exploratory tests:
1. Test assigning and unassigning properties to the new zone multiple times to check for any caching or synchronization issues.
2. Test the behavior of the POS system when a property is moved from another non-traditional zone to the new zone.
3. Test the behavior of the POS system when a property is moved from the new zone to a traditional zone.
4. Test the system's behavior when a property is assigned to the new zone but has incomplete or invalid configuration data.
Clarification flags:
1. Are there any specific properties pre-assigned to the new zone for testing purposes?
2. What is the expected behavior if a property assigned to the new zone has incomplete or invalid configuration data?
3. Are there any specific POS terminal models or software versions that need to be tested for compatibility with the new zone?
Effort estimate: 10–20 test cases
Effort notes: Effort is moderate due to the need to validate configuration inheritance, page design, and regression across zones.</x:v>
      </x:c>
      <x:c r="E108" s="21" t="str">
        <x:v>Scorable</x:v>
      </x:c>
      <x:c r="F108" s="28" t="n">
        <x:v>5</x:v>
      </x:c>
      <x:c r="G108" s="28" t="n">
        <x:v>5</x:v>
      </x:c>
      <x:c r="H108" s="28" t="n">
        <x:v>3</x:v>
      </x:c>
      <x:c r="I108" s="28" t="n">
        <x:v>4</x:v>
      </x:c>
      <x:c r="J108" s="28" t="n">
        <x:v>2</x:v>
      </x:c>
      <x:c r="K108" s="28" t="n">
        <x:f>IF(E108&lt;&gt;"Scorable","",IF(COUNT(F108:J108)=5,SUM(F108:J108),""))</x:f>
        <x:v>19</x:v>
      </x:c>
      <x:c r="L108" s="24" t="str">
        <x:v>Completeness 5: essentially all material consensus expectations are covered at this dimension; Specificity 5: essentially all material consensus expectations are covered at this dimension; Clarification 2: a critical or multiple important consensus expectations remain weak or missing; Frozen implicit consensus elements were treated as essential where applicable.</x:v>
      </x:c>
      <x:c r="M108" s="21" t="str">
        <x:f>IF(E108&lt;&gt;"Scorable","Not scorable",IF(COUNT(F108:J108)&lt;&gt;5,"Missing scores",IF(AND(COUNTIFS(F108:J108,1)+COUNTIFS(F108:J108,2)+COUNTIFS(F108:J108,5)&gt;0,L108=""),"Missing rationale","Complete")))</x:f>
        <x:v>Complete</x:v>
      </x:c>
    </x:row>
    <x:row r="109" ht="180" customHeight="1">
      <x:c r="A109" s="21" t="str">
        <x:v>RATE-F2985EFF2CA9</x:v>
      </x:c>
      <x:c r="B109" s="21" t="str">
        <x:v>SPEC-05</x:v>
      </x:c>
      <x:c r="C109"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109" s="21" t="str">
        <x:v>Coverage depth: MEDIUM
Depth justification: The new feature introduces a new size tier and pricing logic, but does not significantly alter existing functionality
Functional tests:
1. Verify the new extra-large size tier is available for iced coffee, iced latte, and refreshers (standard varieties) on the menu
2. Test that the new size tier prices correctly as 2x the medium beverage price
3. Confirm that the default modifier count is 6 for the new size tier
4. Validate that all modifications remain available for the new size tier
5. Check that seasonal hero build variants are correctly added for specific items
Smoke tests:
1. Verify that the POS system can successfully process orders with the new extra-large size tier
2. Test that the pricing engine correctly calculates prices for the new size tier
Regression tests:
1. Test that existing menu items and size tiers are unaffected by the introduction of the new extra-large size tier
2. Verify that the new size tier does not introduce any issues with modifier counts or pricing for existing menu items
Integration tests:
1. Test the integration of the new size tier with the menu configuration system
2. Verify that the new size tier is correctly reflected in the POS ordering system and pricing engine
Exploratory tests:
1. Explore the user interface to ensure that the new size tier is clearly displayed and easily accessible
2. Test the boundaries of the new size tier, such as attempting to add an excessive number of modifiers
Clarification flags:
1. Confirmation of the exact pricing logic for the new size tier, including any potential exceptions or edge cases
2. Details on how the seasonal hero build variants will be implemented and priced
Effort estimate: 20–30 test cases
Effort notes: The estimate assumes a moderate level of complexity due to the introduction of a new size tier and pricing logic</x:v>
      </x:c>
      <x:c r="E109" s="21" t="str">
        <x:v>Scorable</x:v>
      </x:c>
      <x:c r="F109" s="28" t="n">
        <x:v>4</x:v>
      </x:c>
      <x:c r="G109" s="28" t="n">
        <x:v>4</x:v>
      </x:c>
      <x:c r="H109" s="28" t="n">
        <x:v>2</x:v>
      </x:c>
      <x:c r="I109" s="28" t="n">
        <x:v>4</x:v>
      </x:c>
      <x:c r="J109" s="28" t="n">
        <x:v>4</x:v>
      </x:c>
      <x:c r="K109" s="28" t="n">
        <x:f>IF(E109&lt;&gt;"Scorable","",IF(COUNT(F109:J109)=5,SUM(F109:J109),""))</x:f>
        <x:v>18</x:v>
      </x:c>
      <x:c r="L109" s="24" t="str">
        <x:v>Risk 2: a critical or multiple important consensus expectations remain weak or missing; Frozen implicit consensus elements were treated as essential where applicable.</x:v>
      </x:c>
      <x:c r="M109" s="21" t="str">
        <x:f>IF(E109&lt;&gt;"Scorable","Not scorable",IF(COUNT(F109:J109)&lt;&gt;5,"Missing scores",IF(AND(COUNTIFS(F109:J109,1)+COUNTIFS(F109:J109,2)+COUNTIFS(F109:J109,5)&gt;0,L109=""),"Missing rationale","Complete")))</x:f>
        <x:v>Complete</x:v>
      </x:c>
    </x:row>
    <x:row r="110" ht="180" customHeight="1">
      <x:c r="A110" s="21" t="str">
        <x:v>RATE-1D00B6836F6F</x:v>
      </x:c>
      <x:c r="B110" s="21" t="str">
        <x:v>SPEC-10</x:v>
      </x:c>
      <x:c r="C110"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10" s="21" t="str">
        <x:v>Coverage depth: HIGH
Depth justification: Security and infrastructure changes with potential for service disruption
Functional tests:
1. Verify successful SSL certificate import on POS terminals and tablets
2. Confirm POS platform can reference new certificates based on content management page settings
3. Test loyalty platform integration with new certificates in UAT environment
Smoke tests:
1. Basic connectivity test from POS terminals and tablets to loyalty platform with new certificates
2. Verify no service disruption during certificate renewal
Regression tests:
1. Test existing loyalty platform functionality with new certificates
2. Verify other brand integrations are not affected by certificate renewal
3. Confirm content management page settings still work as expected
Integration tests:
1. Test end-to-end data flow from POS terminals and tablets to loyalty platform with new certificates
2. Verify external loyalty platform vendor's server installation of new certificates
Exploratory tests:
1. Test certificate renewal during peak usage hours
2. Verify error handling when invalid or expired certificates are used
3. Explore potential timing issues during certificate rotation
Clarification flags:
1. Certificate installation and testing procedures for external loyalty platform vendor
2. Specific error handling and logging mechanisms for certificate-related issues
3. Rollback procedures in case of issues during certificate renewal
Effort estimate: 15–30 test cases
Effort notes: Assuming a small QA team and considering the complexity of infrastructure and security changes</x:v>
      </x:c>
      <x:c r="E110" s="21" t="str">
        <x:v>Scorable</x:v>
      </x:c>
      <x:c r="F110" s="28" t="n">
        <x:v>3</x:v>
      </x:c>
      <x:c r="G110" s="28" t="n">
        <x:v>3</x:v>
      </x:c>
      <x:c r="H110" s="28" t="n">
        <x:v>3</x:v>
      </x:c>
      <x:c r="I110" s="28" t="n">
        <x:v>2</x:v>
      </x:c>
      <x:c r="J110" s="28" t="n">
        <x:v>3</x:v>
      </x:c>
      <x:c r="K110" s="28" t="n">
        <x:f>IF(E110&lt;&gt;"Scorable","",IF(COUNT(F110:J110)=5,SUM(F110:J110),""))</x:f>
        <x:v>14</x:v>
      </x:c>
      <x:c r="L110" s="24" t="str">
        <x:v>Integration 2: a critical or multiple important consensus expectations remain weak or missing; Frozen implicit consensus elements were treated as essential where applicable.</x:v>
      </x:c>
      <x:c r="M110" s="21" t="str">
        <x:f>IF(E110&lt;&gt;"Scorable","Not scorable",IF(COUNT(F110:J110)&lt;&gt;5,"Missing scores",IF(AND(COUNTIFS(F110:J110,1)+COUNTIFS(F110:J110,2)+COUNTIFS(F110:J110,5)&gt;0,L110=""),"Missing rationale","Complete")))</x:f>
        <x:v>Complete</x:v>
      </x:c>
    </x:row>
    <x:row r="111" ht="180" customHeight="1">
      <x:c r="A111" s="21" t="str">
        <x:v>RATE-DEC1810917AF</x:v>
      </x:c>
      <x:c r="B111" s="21" t="str">
        <x:v>SPEC-16</x:v>
      </x:c>
      <x:c r="C111"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11" s="21" t="str">
        <x:v>Coverage depth: HIGH
Depth justification: This is a time-sensitive regression effort with direct production deployment implications. Existing serialized coupon integrity is business-critical, BIN range collisions can cause silent financial errors, and the deployment window of one to three weeks before go-live leaves limited time for post-deployment remediation. Thorough coverage is warranted.
Functional tests:
1. Verify existing serialized coupons with current BIN ranges are recognized and applied correctly at POS after new promotional BIN ranges are added
2. Verify existing serialized coupon redemption produces correct discount amounts unchanged from pre-change baseline
3. Verify existing serialized coupons are not rejected, flagged as invalid, or misrouted due to new BIN range entries in the CMS
4. Verify new promotional BIN ranges do not overlap or collide with any existing BIN range values in the CMS configuration
5. Verify existing discount records in the CMS retain their original field values (discount type, amount, eligibility rules) after new records are added
6. Verify POS correctly distinguishes between existing serialized coupon BINs and new promotional BINs during a transaction
7. Verify that applying an existing serialized coupon alongside a new promotional discount does not cause conflict, double-application, or suppression
8. Verify coupon stacking rules and exclusion logic still apply correctly to existing serialized coupons post-change
9. Verify voiding or removing an existing serialized coupon at POS still functions correctly after new BIN ranges are present
10. Verify existing serialized coupons that are partially redeemed or have usage limits are still tracked and enforced correctly
Smoke tests:
1. Confirm the CMS UAT environment loads successfully and displays both existing and new BIN range records without errors
2. Confirm at least one existing serialized coupon can be scanned and accepted at POS without error after new BIN ranges are added
3. Confirm at least one existing serialized coupon applies the correct discount amount in a basic transaction
4. Confirm the new promotional BIN ranges appear in the CMS without displacing or overwriting any existing BIN range records
Regression tests:
1. Re-execute baseline test cases for all existing serialized coupon BIN ranges to confirm no behavioral change
2. Verify existing serialized coupon lookup and validation logic at POS returns the same results as pre-change test runs
3. Verify existing discount processing workflows (apply, void, refund) for serialized coupons are unaffected
4. Verify CMS content record counts for existing BIN ranges match pre-change counts after new records are added
5. Verify existing serialized coupons that previously failed validation still fail for the same reasons and no new false positives are introduced
6. Verify POS transaction totals for orders using existing serialized coupons match pre-change expected values
7. Verify reporting and audit logs for existing serialized coupon redemptions are still generated correctly
8. Verify any existing BIN range-based eligibility rules (e.g., product category restrictions) remain intact and enforced
Integration tests:
1. Verify end-to-end flow: existing serialized coupon scanned at POS → validated against CMS → discount applied → transaction completed successfully
2. Verify CMS-to-POS content sync correctly propagates new BIN ranges without altering existing BIN range data delivered to POS terminals
3. Verify that the content deployment pipeline from UAT CMS to production CMS does not corrupt or reorder existing BIN range records
4. Verify POS terminal receives updated content package containing new BIN ranges and still resolves existing serialized coupons correctly
5. Verify any middleware or discount engine sitting between POS and CMS handles both old and new BIN ranges without routing errors
6. Verify refund transactions referencing existing serialized coupon redemptions are processed correctly after new BIN ranges are live
7. Verify loyalty or rewards integrations that reference existing coupon BINs are unaffected by the new BIN range additions
Exploratory tests:
1. Explore edge cases where an existing serialized coupon BIN value is numerically adjacent to a new promotional BIN range boundary to check for off-by-one or range overlap issues
2. Explore behavior when a cashier manually enters an existing serialized coupon code at POS rather than scanning it, after new BIN ranges are present
3. Explore what happens if a customer presents both an existing serialized coupon and a new promotional coupon in the same transaction
4. Explore CMS admin UI for any visual anomalies, sorting issues, or pagination problems introduced by the addition of new BIN range records
5. Explore whether high-volume or rapid sequential scanning of existing serialized coupons causes any performance degradation after new BIN data is loaded
6. Explore behavior of existing serialized coupons that are at or near their expiration date to confirm expiry logic is unaffected
7. Explore error messaging at POS when an invalid or unknown BIN is entered to confirm error handling has not regressed
Clarification flags:
1. Total count and full list of existing serialized coupon BIN ranges in scope is not provided — needed to ensure complete regression coverage
2. It is unclear whether any existing BIN ranges are numerically adjacent to or potentially overlapping with the new promotional BIN ranges — a BIN range mapping document should be reviewed before testing begins
3. The specific POS terminal types and software versions in the UAT environment are not specified — needed to confirm test environment fidelity
4. It is not stated whether the CMS-to-POS content sync is automatic or manual — this affects integration test design and timing
5. The deployment mechanism from UAT CMS to production CMS is not described — needed to assess whether the deployment itself poses a data integrity risk
6. It is unclear whether existing serialized coupons are still being actively issued or are legacy-only — affects the priority of issuance vs. redemption test paths
7. No baseline test results or pre-change test artifacts are referenced — availability of a baseline is critical for true regression comparison
8. Coupon stacking and exclusion rules between existing and new promotional coupons are not documented — needed to define expected behavior for combination scenarios
9. It is not specified whether any middleware, discount engine, or third-party service processes BIN lookups — needed to scope integration tests accurately
10. The go-live date and exact deployment deadline are not provided — needed to prioritize test execution order given time sensitivity
Effort estimate: 35–60 test cases
Effort notes: Estimate scales with the number of distinct existing BIN ranges and serialized coupon types in scope. If a full inventory of existing BIN ranges is provided, test cases should be parameterized to cover each range. Integration and regression suites will dominate effort. Automation of baseline regression cases is strongly recommended given the deployment timeline.</x:v>
      </x:c>
      <x:c r="E111" s="21" t="str">
        <x:v>Scorable</x:v>
      </x:c>
      <x:c r="F111" s="28" t="n">
        <x:v>5</x:v>
      </x:c>
      <x:c r="G111" s="28" t="n">
        <x:v>5</x:v>
      </x:c>
      <x:c r="H111" s="28" t="n">
        <x:v>3</x:v>
      </x:c>
      <x:c r="I111" s="28" t="n">
        <x:v>5</x:v>
      </x:c>
      <x:c r="J111" s="28" t="n">
        <x:v>5</x:v>
      </x:c>
      <x:c r="K111" s="28" t="n">
        <x:f>IF(E111&lt;&gt;"Scorable","",IF(COUNT(F111:J111)=5,SUM(F111:J111),""))</x:f>
        <x:v>23</x:v>
      </x:c>
      <x:c r="L111"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Clarification 5: material consensus ambiguities are directly and actionably addressed; Frozen implicit consensus elements were treated as essential where applicable.</x:v>
      </x:c>
      <x:c r="M111" s="21" t="str">
        <x:f>IF(E111&lt;&gt;"Scorable","Not scorable",IF(COUNT(F111:J111)&lt;&gt;5,"Missing scores",IF(AND(COUNTIFS(F111:J111,1)+COUNTIFS(F111:J111,2)+COUNTIFS(F111:J111,5)&gt;0,L111=""),"Missing rationale","Complete")))</x:f>
        <x:v>Complete</x:v>
      </x:c>
    </x:row>
    <x:row r="112" ht="180" customHeight="1">
      <x:c r="A112" s="21" t="str">
        <x:v>RATE-CF625E60FE6E</x:v>
      </x:c>
      <x:c r="B112" s="21" t="str">
        <x:v>SPEC-09</x:v>
      </x:c>
      <x:c r="C112"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112" s="21" t="str">
        <x:v>Coverage depth: MEDIUM
Depth justification: The change impacts financial reporting and analytics, which are critical for business operations, but the scope is limited to a single delivery platform and a specific configuration change.
Functional tests:
1. Verify that the delivery markup percentage for the specified third-party delivery platform is updated to 26% in the reporting and analytics configuration tool under Data Mapping settings.
2. Verify that the updated markup percentage is applied correctly to new transactions after the effective date.
3. Verify whether the markup change applies retroactively to transactions prior to the effective date or only prospectively.
Smoke tests:
1. Confirm that the reporting and analytics configuration tool is accessible and functional after the configuration change.
2. Verify that the updated markup percentage does not affect other delivery platforms or brands.
Regression tests:
1. Ensure that the reporting and analytics configuration tool continues to display and apply correct markup percentages for all other delivery platforms.
2. Verify that existing reports and analytics for other delivery platforms remain unaffected by the change.
Integration tests:
1. Validate that the updated markup percentage is correctly reflected in the data pipeline and flows through to the third-party reporting platform, if applicable.
2. Verify that the third-party reporting platform correctly processes and displays the updated markup percentage for the specified delivery platform.
Exploratory tests:
1. Test boundary conditions by entering invalid or extreme values for the markup percentage in the configuration tool to ensure proper validation and error handling.
2. Simulate high transaction volumes to observe any potential timing or performance issues in the data pipeline after the markup change.
3. Explore the impact of the markup change on historical data reporting, including edge cases like transactions occurring exactly at the effective date and time.
Clarification flags:
1. Confirm whether the markup change applies retroactively or only prospectively.
2. Clarify if the third-party reporting platform requires a corresponding change and whether it is in scope for QA.
3. Specify the exact effective date and time for the markup change.
Effort estimate: 8–12 test cases
Effort notes: The effort estimate accounts for functional, regression, integration, and exploratory testing across multiple environments (UAT, Pre-Production, Production).</x:v>
      </x:c>
      <x:c r="E112" s="21" t="str">
        <x:v>Scorable</x:v>
      </x:c>
      <x:c r="F112" s="28" t="n">
        <x:v>4</x:v>
      </x:c>
      <x:c r="G112" s="28" t="n">
        <x:v>4</x:v>
      </x:c>
      <x:c r="H112" s="28" t="n">
        <x:v>3</x:v>
      </x:c>
      <x:c r="I112" s="28" t="n">
        <x:v>4</x:v>
      </x:c>
      <x:c r="J112" s="28" t="n">
        <x:v>5</x:v>
      </x:c>
      <x:c r="K112" s="28" t="n">
        <x:f>IF(E112&lt;&gt;"Scorable","",IF(COUNT(F112:J112)=5,SUM(F112:J112),""))</x:f>
        <x:v>20</x:v>
      </x:c>
      <x:c r="L112" s="24" t="str">
        <x:v>Clarification 5: material consensus ambiguities are directly and actionably addressed; Frozen implicit consensus elements were treated as essential where applicable.</x:v>
      </x:c>
      <x:c r="M112" s="21" t="str">
        <x:f>IF(E112&lt;&gt;"Scorable","Not scorable",IF(COUNT(F112:J112)&lt;&gt;5,"Missing scores",IF(AND(COUNTIFS(F112:J112,1)+COUNTIFS(F112:J112,2)+COUNTIFS(F112:J112,5)&gt;0,L112=""),"Missing rationale","Complete")))</x:f>
        <x:v>Complete</x:v>
      </x:c>
    </x:row>
    <x:row r="113" ht="180" customHeight="1">
      <x:c r="A113" s="21" t="str">
        <x:v>RATE-71E660686ECF</x:v>
      </x:c>
      <x:c r="B113" s="21" t="str">
        <x:v>SPEC-06</x:v>
      </x:c>
      <x:c r="C113"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13" s="21" t="str">
        <x:v>Terminal invalid JSON. This observation is retained as a structural failure and receives no rubric score.</x:v>
      </x:c>
      <x:c r="E113" s="21" t="str">
        <x:v>Not scorable — terminal invalid JSON</x:v>
      </x:c>
      <x:c r="F113" s="29"/>
      <x:c r="G113" s="29"/>
      <x:c r="H113" s="29"/>
      <x:c r="I113" s="29"/>
      <x:c r="J113" s="29"/>
      <x:c r="K113" s="29" t="str">
        <x:f>IF(E113&lt;&gt;"Scorable","",IF(COUNT(F113:J113)=5,SUM(F113:J113),""))</x:f>
      </x:c>
      <x:c r="L113" s="26"/>
      <x:c r="M113" s="21" t="str">
        <x:f>IF(E113&lt;&gt;"Scorable","Not scorable",IF(COUNT(F113:J113)&lt;&gt;5,"Missing scores",IF(AND(COUNTIFS(F113:J113,1)+COUNTIFS(F113:J113,2)+COUNTIFS(F113:J113,5)&gt;0,L113=""),"Missing rationale","Complete")))</x:f>
        <x:v>Not scorable</x:v>
      </x:c>
    </x:row>
    <x:row r="114" ht="180" customHeight="1">
      <x:c r="A114" s="21" t="str">
        <x:v>RATE-772979DEE7C9</x:v>
      </x:c>
      <x:c r="B114" s="21" t="str">
        <x:v>SPEC-15</x:v>
      </x:c>
      <x:c r="C114"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14" s="21" t="str">
        <x:v>Coverage depth: MEDIUM
Depth justification: This is a targeted bug fix for a UI messaging mismatch with a known root cause (configuration file mismatch). Coverage should be thorough enough to confirm the fix, prevent regression on adjacent message types, and validate cross-environment consistency, but the scope is bounded to display messaging and configuration rather than broad functional logic.
Functional tests:
1. Verify that canceling a gift card transaction with cloud processing disabled displays exactly 'CANCEL TRANSACTION' on the POS terminal
2. Verify that canceling a gift card transaction does NOT display 'VOID NEW ITEMS AND CANCEL TRANSACTION' on the POS terminal when cloud processing is disabled
3. Verify that the correct message 'CANCEL TRANSACTION' appears immediately upon crew member initiating a gift card transaction cancel action
4. Verify that the corrected configuration files are loaded at terminal startup and no legacy override files are present or active
5. Verify that canceling a gift card transaction mid-flow (after partial entry) displays 'CANCEL TRANSACTION' on the POS terminal
6. Verify that canceling a gift card transaction at the initiation step (before any amount entered) displays 'CANCEL TRANSACTION' on the POS terminal
7. Verify that the cancel message display behavior is consistent across multiple consecutive gift card cancel attempts
8. Verify that non-gift-card transaction cancellations are unaffected and still display their expected messages
Smoke tests:
1. Confirm POS terminal boots successfully with the updated configuration files and no errors
2. Confirm that initiating and canceling a single gift card transaction displays 'CANCEL TRANSACTION' on the terminal with cloud processing disabled
3. Confirm that the terminal does not display 'VOID NEW ITEMS AND CANCEL TRANSACTION' for any gift card cancel action after the fix
Regression tests:
1. Verify that a successfully completed gift card transaction (no cancel) still processes correctly and displays appropriate completion messages
2. Verify that voiding new items on a non-gift-card transaction still displays the correct 'VOID NEW ITEMS AND CANCEL TRANSACTION' message where applicable
3. Verify that gift card balance inquiry transactions are unaffected by the configuration change
4. Verify that gift card reload transactions complete and display correct messaging after the configuration fix
5. Verify that gift card redemption transactions complete and display correct messaging after the configuration fix
6. Verify that POS terminal messaging for non-gift-card payment cancellations (credit, debit, cash) remains correct
7. Verify that terminal display messages for other transaction types (e.g., refunds, exchanges) are unaffected by the configuration change
8. Verify that the fix does not introduce any new configuration conflicts or missing message keys for other terminal display scenarios
9. Verify that the corrected configuration does not affect transaction logging or receipt output for gift card cancellations
Integration tests:
1. Verify that with cloud processing re-enabled, the gift card cancel transaction still displays 'CANCEL TRANSACTION' and the fix is not environment-dependent
2. Verify that the POS terminal correctly reads and applies the updated configuration files in integration with the backend configuration management system
3. Verify that the corrected terminal messaging aligns with the transaction cancel event recorded in the backend transaction log
4. Verify that the fix behaves consistently when the POS terminal is integrated with the gift card processing service end-to-end
5. Verify that multiple POS terminals in the same environment all reflect the corrected configuration and display 'CANCEL TRANSACTION' consistently
Exploratory tests:
1. Explore edge cases where a crew member rapidly cancels multiple gift card transactions in succession to check for message flickering or reversion to incorrect text
2. Explore whether any other terminal display messages are inadvertently altered or missing after the configuration file correction
3. Explore the terminal behavior when the configuration file is partially applied or corrupted mid-deployment to assess failure messaging
4. Explore whether the incorrect message 'VOID NEW ITEMS AND CANCEL TRANSACTION' can be triggered through any alternate cancel workflow or shortcut on the terminal
5. Explore the terminal display behavior when switching between gift card and non-gift-card transactions in rapid succession to check for message bleed-over
6. Explore whether the fix holds after a terminal restart or power cycle to rule out in-memory caching of old configuration values
Clarification flags:
1. Is the fix applied at the configuration file level only, or does it also involve code changes? This affects regression scope.
2. Which specific configuration files were mismatched, and are there multiple files or a single override file involved?
3. Are there multiple POS terminal models or firmware versions in use that each require separate validation?
4. What is the expected behavior when cloud processing is re-enabled — should 'CANCEL TRANSACTION' still display, or is a different message expected in that mode?
5. Is 'VOID NEW ITEMS AND CANCEL TRANSACTION' a valid message for any other scenario on this terminal, and if so, which one? This is needed to avoid over-correcting regression tests.
6. What is the deployment mechanism for the configuration fix — is it pushed centrally or applied per terminal? This affects integration test design.
7. Are there any other terminal display messages that share the same configuration section as the affected message, which could be inadvertently impacted?
8. Is there a specific POS terminal software version or environment (e.g., staging, production) where testing must be performed?
Effort estimate: 20–35 test cases
Effort notes: Effort is moderate due to the need for environment-specific testing (cloud processing on vs. off), multi-terminal validation, and regression coverage across adjacent transaction types. Test case count may increase if multiple terminal hardware models or software versions require separate validation.</x:v>
      </x:c>
      <x:c r="E114" s="21" t="str">
        <x:v>Scorable</x:v>
      </x:c>
      <x:c r="F114" s="28" t="n">
        <x:v>5</x:v>
      </x:c>
      <x:c r="G114" s="28" t="n">
        <x:v>5</x:v>
      </x:c>
      <x:c r="H114" s="28" t="n">
        <x:v>5</x:v>
      </x:c>
      <x:c r="I114" s="28" t="n">
        <x:v>5</x:v>
      </x:c>
      <x:c r="J114" s="28" t="n">
        <x:v>5</x:v>
      </x:c>
      <x:c r="K114" s="28" t="n">
        <x:f>IF(E114&lt;&gt;"Scorable","",IF(COUNT(F114:J114)=5,SUM(F114:J114),""))</x:f>
        <x:v>25</x:v>
      </x:c>
      <x:c r="L114"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114" s="21" t="str">
        <x:f>IF(E114&lt;&gt;"Scorable","Not scorable",IF(COUNT(F114:J114)&lt;&gt;5,"Missing scores",IF(AND(COUNTIFS(F114:J114,1)+COUNTIFS(F114:J114,2)+COUNTIFS(F114:J114,5)&gt;0,L114=""),"Missing rationale","Complete")))</x:f>
        <x:v>Complete</x:v>
      </x:c>
    </x:row>
    <x:row r="115" ht="180" customHeight="1">
      <x:c r="A115" s="21" t="str">
        <x:v>RATE-5CA6295A49BC</x:v>
      </x:c>
      <x:c r="B115" s="21" t="str">
        <x:v>SPEC-16</x:v>
      </x:c>
      <x:c r="C115"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15" s="21" t="str">
        <x:v>Coverage depth: MEDIUM
Depth justification: The change involves adding new content records, which is a medium-risk operation. While the new BIN ranges have been validated, regression testing is critical to ensure no interference with existing serialized coupons and discounts.
Functional tests:
1. Validate that serialized coupons using existing BIN ranges are still recognized and applied correctly at the POS.
2. Verify that discounts tied to existing BIN ranges are calculated correctly during checkout.
3. Ensure that serialized coupons with existing BIN ranges can be redeemed without errors in the POS system.
Smoke tests:
1. Confirm that the POS system initializes correctly and processes transactions without errors after the new BIN ranges are added.
2. Verify that the content management system is accessible and displays both new and existing BIN range configurations without issues.
Regression tests:
1. Test a variety of serialized coupons across different BIN ranges to confirm no interference with existing functionality.
2. Validate that existing BIN range coupons are not mistakenly categorized under the new BIN ranges.
3. Ensure that existing discounts tied to serialized coupons are still applied correctly in edge cases, such as partial redemptions or overlapping promotions.
4. Check that serialized coupons with existing BIN ranges are correctly reflected in transaction reports and audit logs.
5. Verify that expired serialized coupons tied to existing BIN ranges are still rejected as expected.
Integration tests:
1. Validate end-to-end coupon redemption flow from the content management system to the POS system, ensuring no errors occur for existing BIN range coupons.
2. Confirm that transaction data for existing BIN range coupons is correctly transmitted to the reporting system.
3. Verify that the content management system correctly synchronizes existing BIN range configurations with the POS system.
Exploratory tests:
1. Test serialized coupons with edge-case BIN ranges (e.g., lowest and highest values in the existing range) to ensure they are unaffected.
2. Attempt to redeem serialized coupons with invalid or malformed BIN ranges to confirm proper error handling.
3. Test concurrent coupon redemptions using existing BIN ranges to identify any race conditions or performance issues.
4. Probe for any unexpected interactions between serialized coupons and new promotional BIN ranges, such as misclassification or prioritization issues.
Clarification flags:
1. Are there any specific serialized coupons or BIN ranges that are considered high priority for regression testing?
2. What is the exact timeline for completing regression testing before the content records are deployed to production?
3. Are there any known dependencies or recent changes in the POS or content management system that could affect testing?
4. Should testing include any specific reporting or analytics validations related to serialized coupons?
Effort estimate: 15–25 test cases
Effort notes: Effort is focused on validating existing functionality and ensuring no interference from the new BIN ranges. The range accounts for edge cases and integration testing.</x:v>
      </x:c>
      <x:c r="E115" s="21" t="str">
        <x:v>Scorable</x:v>
      </x:c>
      <x:c r="F115" s="28" t="n">
        <x:v>3</x:v>
      </x:c>
      <x:c r="G115" s="28" t="n">
        <x:v>3</x:v>
      </x:c>
      <x:c r="H115" s="28" t="n">
        <x:v>5</x:v>
      </x:c>
      <x:c r="I115" s="28" t="n">
        <x:v>3</x:v>
      </x:c>
      <x:c r="J115" s="28" t="n">
        <x:v>4</x:v>
      </x:c>
      <x:c r="K115" s="28" t="n">
        <x:f>IF(E115&lt;&gt;"Scorable","",IF(COUNT(F115:J115)=5,SUM(F115:J115),""))</x:f>
        <x:v>18</x:v>
      </x:c>
      <x:c r="L115" s="24" t="str">
        <x:v>Risk 5: depth matches consensus and the justification is materially risk-specific; Frozen implicit consensus elements were treated as essential where applicable.</x:v>
      </x:c>
      <x:c r="M115" s="21" t="str">
        <x:f>IF(E115&lt;&gt;"Scorable","Not scorable",IF(COUNT(F115:J115)&lt;&gt;5,"Missing scores",IF(AND(COUNTIFS(F115:J115,1)+COUNTIFS(F115:J115,2)+COUNTIFS(F115:J115,5)&gt;0,L115=""),"Missing rationale","Complete")))</x:f>
        <x:v>Complete</x:v>
      </x:c>
    </x:row>
    <x:row r="116" ht="180" customHeight="1">
      <x:c r="A116" s="21" t="str">
        <x:v>RATE-F817FBBB3D74</x:v>
      </x:c>
      <x:c r="B116" s="21" t="str">
        <x:v>SPEC-06</x:v>
      </x:c>
      <x:c r="C116"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16" s="21" t="str">
        <x:v>Coverage depth: HIGH
Depth justification: The feature introduces a significant change in scheduling behavior, and its impact spans multiple system areas, including user configuration, POS integration, and time-sensitive operations.
Functional tests:
1. Verify that the start date and end date can be configured independently of the start time and end time.
2. Validate that the app correctly schedules menu item availability for each day within the defined date range.
3. Ensure that the app respects the start and end time for each day within the date range.
4. Check that the app handles invalid configurations, such as end date earlier than start date or end time earlier than start time.
5. Test the behavior when no end date is specified (e.g., indefinite scheduling).
Smoke tests:
1. Verify that the app launches successfully on both POS platform version 18.x and 19.x.
2. Confirm that basic scheduling functionality works with default configurations.
3. Ensure that the app does not crash when accessing the new scheduling interface.
Regression tests:
1. Verify that existing functionality, such as menu item availability outside of the new scheduling feature, remains unaffected.
2. Ensure compatibility with POS platform version 18.x and 19.x for all previously supported features.
3. Test that the app correctly handles edge cases from the previous version, such as overlapping datetime ranges.
Integration tests:
1. Validate that the app integrates correctly with the POS system's menu item database for both scheduling and availability updates.
2. Ensure that the app's scheduling changes are reflected in the POS system's user interface in real-time.
3. Test the app's behavior when interacting with external systems, such as store location configurations or time zone settings.
Exploratory tests:
1. Explore the user interface for usability issues or unexpected behaviors when configuring time windows.
2. Test edge cases, such as configuring a time window that spans midnight or overlaps with another active time window.
3. Investigate the app's behavior when switching between POS platform versions 18.x and 19.x.
Clarification flags:
1. Are there any specific time zones or regional configurations that need to be tested?
2. What is the expected behavior if the app is configured with overlapping time windows?
3. Are there any known limitations or dependencies for the new scheduling feature in POS platform version 18.x?
Effort estimate: 25–40 test cases
Effort notes: Effort is higher due to the need for compatibility testing across two POS platform versions and the time-sensitive nature of testing in version 18.x.</x:v>
      </x:c>
      <x:c r="E116" s="21" t="str">
        <x:v>Scorable</x:v>
      </x:c>
      <x:c r="F116" s="28" t="n">
        <x:v>3</x:v>
      </x:c>
      <x:c r="G116" s="28" t="n">
        <x:v>3</x:v>
      </x:c>
      <x:c r="H116" s="28" t="n">
        <x:v>4</x:v>
      </x:c>
      <x:c r="I116" s="28" t="n">
        <x:v>4</x:v>
      </x:c>
      <x:c r="J116" s="28" t="n">
        <x:v>2</x:v>
      </x:c>
      <x:c r="K116" s="28" t="n">
        <x:f>IF(E116&lt;&gt;"Scorable","",IF(COUNT(F116:J116)=5,SUM(F116:J116),""))</x:f>
        <x:v>16</x:v>
      </x:c>
      <x:c r="L116" s="24" t="str">
        <x:v>Clarification 2: a critical or multiple important consensus expectations remain weak or missing; Frozen implicit consensus elements were treated as essential where applicable.</x:v>
      </x:c>
      <x:c r="M116" s="21" t="str">
        <x:f>IF(E116&lt;&gt;"Scorable","Not scorable",IF(COUNT(F116:J116)&lt;&gt;5,"Missing scores",IF(AND(COUNTIFS(F116:J116,1)+COUNTIFS(F116:J116,2)+COUNTIFS(F116:J116,5)&gt;0,L116=""),"Missing rationale","Complete")))</x:f>
        <x:v>Complete</x:v>
      </x:c>
    </x:row>
    <x:row r="117" ht="180" customHeight="1">
      <x:c r="A117" s="21" t="str">
        <x:v>RATE-96C34D27706A</x:v>
      </x:c>
      <x:c r="B117" s="21" t="str">
        <x:v>SPEC-09</x:v>
      </x:c>
      <x:c r="C117"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117" s="21" t="str">
        <x:v>Coverage depth: MEDIUM
Depth justification: The change is limited to a specific configuration update, but it affects multiple areas of the system, including reporting, analytics, and data pipeline.
Functional tests:
1. Verify the delivery markup percentage is updated to 26% for the specified third-party delivery platform in the reporting and analytics configuration tool
2. Confirm the change applies to both brands
3. Validate the change does not affect other delivery platforms
4. Test the markup percentage update in UAT, Pre-Production, and Production environments
Smoke tests:
1. Quick verification of the updated markup percentage in the reporting and analytics configuration tool
2. Basic validation that the change does not cause any errors or crashes in the system
Regression tests:
1. Re-test existing scenarios to ensure the markup percentage update does not introduce any new issues
2. Verify that the data pipeline is not affected by the change
3. Confirm that the third-party delivery platform integration remains functional
Integration tests:
1. Test the integration with the separate third-party reporting platform to ensure it can handle the updated markup percentage
2. Verify that the data mapping settings are correctly applied to the third-party delivery platform
Exploratory tests:
1. Explore the system to identify any potential issues with the retroactive or prospective application of the markup change
2. Investigate how the system handles edge cases, such as transactions that occur on the effective date of the change
Clarification flags:
1. Retroactive or prospective application of the markup change
2. Confirmation of the corresponding change required on the separate third-party reporting platform
Effort estimate: 10–20 test cases
Effort notes: The estimate may vary depending on the complexity of the testing environments and the availability of test data.</x:v>
      </x:c>
      <x:c r="E117" s="21" t="str">
        <x:v>Scorable</x:v>
      </x:c>
      <x:c r="F117" s="28" t="n">
        <x:v>4</x:v>
      </x:c>
      <x:c r="G117" s="28" t="n">
        <x:v>4</x:v>
      </x:c>
      <x:c r="H117" s="28" t="n">
        <x:v>3</x:v>
      </x:c>
      <x:c r="I117" s="28" t="n">
        <x:v>4</x:v>
      </x:c>
      <x:c r="J117" s="28" t="n">
        <x:v>4</x:v>
      </x:c>
      <x:c r="K117" s="28" t="n">
        <x:f>IF(E117&lt;&gt;"Scorable","",IF(COUNT(F117:J117)=5,SUM(F117:J117),""))</x:f>
        <x:v>19</x:v>
      </x:c>
      <x:c r="L117" s="24" t="str">
        <x:v>Frozen implicit consensus elements were treated as essential where applicable.</x:v>
      </x:c>
      <x:c r="M117" s="21" t="str">
        <x:f>IF(E117&lt;&gt;"Scorable","Not scorable",IF(COUNT(F117:J117)&lt;&gt;5,"Missing scores",IF(AND(COUNTIFS(F117:J117,1)+COUNTIFS(F117:J117,2)+COUNTIFS(F117:J117,5)&gt;0,L117=""),"Missing rationale","Complete")))</x:f>
        <x:v>Complete</x:v>
      </x:c>
    </x:row>
    <x:row r="118" ht="180" customHeight="1">
      <x:c r="A118" s="21" t="str">
        <x:v>RATE-4512A60D658C</x:v>
      </x:c>
      <x:c r="B118" s="21" t="str">
        <x:v>SPEC-14</x:v>
      </x:c>
      <x:c r="C118"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18" s="21" t="str">
        <x:v>Coverage depth: HIGH
Depth justification: Multi-device and multi-OS compatibility testing with a focus on live production configuration (iOS 18.5) and future deployment validation (iOS 26.1)
Functional tests:
1. Verify standard app functionality on Gen 10 tablet with iOS 18.5
2. Verify standard app functionality on Gen 11 tablet with iOS 18.5
3. Verify standard app functionality on Gen 10 tablet with iOS 26.1
4. Verify standard app functionality on Gen 11 tablet with iOS 26.1
5. Validate any new or updated features introduced in the new version on all device and OS combinations
Smoke tests:
1. Launch and close the app on all device and OS combinations without errors
2. Perform basic navigation and ordering workflow on all device and OS combinations
Regression tests:
1. Test payment processing on all device and OS combinations
2. Verify order history and management on all device and OS combinations
3. Check for any data inconsistencies or loss during app usage on all device and OS combinations
Integration tests:
1. Validate integration with payment gateways on all device and OS combinations
2. Test connectivity and data exchange with the server on all device and OS combinations
Exploratory tests:
1. Test app behavior with low battery, low storage, and other resource constraints on all device and OS combinations
2. Explore app functionality during network connectivity changes (e.g., Wi-Fi to cellular) on all device and OS combinations
Clarification flags:
1. Vendor release notes for the new version are pending and could significantly impact testing scope and effort
2. Confirmation of specific new or updated features in the new version is needed to ensure comprehensive testing
Effort estimate: 40–60 test cases
Effort notes: Estimate based on the number of device and OS combinations and the need for thorough testing of standard app functionality, new features, and integrations</x:v>
      </x:c>
      <x:c r="E118" s="21" t="str">
        <x:v>Scorable</x:v>
      </x:c>
      <x:c r="F118" s="28" t="n">
        <x:v>2</x:v>
      </x:c>
      <x:c r="G118" s="28" t="n">
        <x:v>2</x:v>
      </x:c>
      <x:c r="H118" s="28" t="n">
        <x:v>4</x:v>
      </x:c>
      <x:c r="I118" s="28" t="n">
        <x:v>2</x:v>
      </x:c>
      <x:c r="J118" s="28" t="n">
        <x:v>3</x:v>
      </x:c>
      <x:c r="K118" s="28" t="n">
        <x:f>IF(E118&lt;&gt;"Scorable","",IF(COUNT(F118:J118)=5,SUM(F118:J118),""))</x:f>
        <x:v>13</x:v>
      </x:c>
      <x:c r="L118" s="24" t="str">
        <x:v>Completeness 2: a critical or multiple important consensus expectations remain weak or missing; Specificity 2: a critical or multiple important consensus expectations remain weak or missing; Integration 2: a critical or multiple important consensus expectations remain weak or missing; Frozen implicit consensus elements were treated as essential where applicable.</x:v>
      </x:c>
      <x:c r="M118" s="21" t="str">
        <x:f>IF(E118&lt;&gt;"Scorable","Not scorable",IF(COUNT(F118:J118)&lt;&gt;5,"Missing scores",IF(AND(COUNTIFS(F118:J118,1)+COUNTIFS(F118:J118,2)+COUNTIFS(F118:J118,5)&gt;0,L118=""),"Missing rationale","Complete")))</x:f>
        <x:v>Complete</x:v>
      </x:c>
    </x:row>
    <x:row r="119" ht="180" customHeight="1">
      <x:c r="A119" s="21" t="str">
        <x:v>RATE-8CA75634A02D</x:v>
      </x:c>
      <x:c r="B119" s="21" t="str">
        <x:v>SPEC-09</x:v>
      </x:c>
      <x:c r="C119"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119" s="21" t="str">
        <x:v>Coverage depth: HIGH
Depth justification: This change directly impacts financial calculations and contractual compliance across multiple environments, two brands, and potentially two reporting platforms. The retroactivity ambiguity, effective date boundary logic, and cross-system data pipeline dependencies introduce significant risk requiring thorough coverage.
Functional tests:
1. Verify that the delivery markup percentage for the targeted third-party delivery platform is updated from 25% to 26% in the Data Mapping settings of the reporting/analytics configuration tool
2. Verify that the markup change applies only to the one specified third-party delivery platform and not to any other delivery platforms
3. Verify that the markup change applies to both brands as specified in the contractual agreement
4. Verify that transactions dated on or after the effective date reflect the 26% markup in reporting outputs
5. Verify that transactions dated prior to the effective date retain the 25% markup (prospective-only application) OR reflect the updated 26% markup (if retroactive application is confirmed)
6. Verify that the effective date is correctly honored as the cutoff point for the markup change
7. Verify that revenue and margin calculations in reports correctly reflect the new 26% markup for qualifying transactions
8. Verify that the Data Mapping settings UI correctly displays the updated 26% value after the change is saved
9. Verify that saving the configuration change does not affect any unrelated Data Mapping settings
10. Verify that the separate third-party reporting platform (if updated) reflects the corresponding 26% markup change and aligns with internal reporting figures
Smoke tests:
1. Confirm the delivery markup field for the targeted platform is accessible and editable in the Data Mapping settings
2. Confirm the updated 26% value is saved and persists after navigating away from the configuration screen
3. Confirm at least one sample transaction on or after the effective date shows the 26% markup applied in reporting output
4. Confirm at least one sample transaction prior to the effective date shows the expected markup (25% or 26% depending on retroactivity decision)
Regression tests:
1. Verify that markup percentages for all other third-party delivery platforms remain unchanged at their previously configured values
2. Verify that markup calculations for Brand A and Brand B on all other delivery platforms are unaffected
3. Verify that existing reports and dashboards not related to the targeted delivery platform continue to render correctly
4. Verify that the data pipeline continues to process and deliver records without errors after the configuration change
5. Verify that historical reporting data for the targeted platform prior to the effective date is not corrupted or altered unintentionally
6. Verify that scheduled report jobs and automated data exports continue to run successfully post-change
7. Verify that any aggregated or rolled-up metrics (e.g., total delivery revenue) are recalculated correctly incorporating the new markup
Integration tests:
1. Verify that the updated markup configuration in the reporting/analytics tool is correctly propagated through the data pipeline to downstream reporting outputs
2. Verify that the data pipeline correctly applies the 26% markup to transactions from the targeted platform on or after the effective date without manual intervention
3. Verify that the third-party reporting platform receives or reflects the corresponding markup update and that figures reconcile with internal reporting
4. Verify that both brands' transaction data flows correctly through the pipeline with the new markup applied for the targeted delivery platform
5. Verify that the effective date boundary is correctly enforced end-to-end across the configuration tool, data pipeline, and reporting outputs
6. Verify that any API or data feed connections between the internal system and the third-party reporting platform continue to function correctly after the change
Exploratory tests:
1. Explore edge cases around transactions that occur exactly on the effective date (boundary date/time handling, timezone considerations)
2. Explore behavior when a transaction spans the effective date boundary (e.g., order placed before, fulfilled after) to determine which markup is applied
3. Explore whether partial or in-flight data pipeline jobs at the time of the configuration change apply the old or new markup inconsistently
4. Explore the third-party reporting platform for any discrepancies or misalignments in markup values compared to internal reports
5. Explore whether the configuration change can be accidentally applied to other platforms or brands through misconfiguration or UI ambiguity
6. Explore audit logging to confirm the configuration change is recorded with timestamp, changed-by user, old value, and new value
7. Explore rollback capability: verify whether the markup can be reverted to 25% if needed and what impact that has on already-processed transactions
Clarification flags:
1. Is the markup change retroactive (applied to all historical transactions for the targeted platform) or strictly prospective (applied only to transactions on or after the effective date)? This is explicitly called out as unconfirmed and fundamentally changes test cases and expected results.
2. What is the exact effective date and time, and in which timezone? This is critical for boundary testing.
3. Does the third-party reporting platform require a manual configuration change on their side, or is it automatically synchronized? If manual, who is responsible and what is the timeline?
4. Which specific third-party delivery platform is being updated? This is needed to scope platform-specific test data and avoid ambiguity during test execution.
5. How many report types, dashboards, or data exports reference the delivery markup for the targeted platform? This affects regression test scope.
6. Is there an audit log or change history feature in the Data Mapping settings tool that should be verified as part of this change?
7. What is the rollback plan if the configuration change causes issues in Production, and should rollback procedures be tested in UAT or Pre-Production?
8. Are there any automated alerts or reconciliation jobs that compare internal markup figures with the third-party platform figures that may need to be updated?
9. How are transactions that are in-flight or pending at the exact moment of the effective date cutoff handled by the data pipeline?
Effort estimate: 25–45 test cases
Effort notes: Effort scales based on resolution of the retroactivity question, the number of report types and dashboards affected, the complexity of the third-party reporting platform integration, and whether testing must be executed independently across UAT, Pre-Production, and Production environments. Each environment execution cycle adds overhead.</x:v>
      </x:c>
      <x:c r="E119" s="21" t="str">
        <x:v>Scorable</x:v>
      </x:c>
      <x:c r="F119" s="28" t="n">
        <x:v>5</x:v>
      </x:c>
      <x:c r="G119" s="28" t="n">
        <x:v>5</x:v>
      </x:c>
      <x:c r="H119" s="28" t="n">
        <x:v>5</x:v>
      </x:c>
      <x:c r="I119" s="28" t="n">
        <x:v>5</x:v>
      </x:c>
      <x:c r="J119" s="28" t="n">
        <x:v>5</x:v>
      </x:c>
      <x:c r="K119" s="28" t="n">
        <x:f>IF(E119&lt;&gt;"Scorable","",IF(COUNT(F119:J119)=5,SUM(F119:J119),""))</x:f>
        <x:v>25</x:v>
      </x:c>
      <x:c r="L119"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119" s="21" t="str">
        <x:f>IF(E119&lt;&gt;"Scorable","Not scorable",IF(COUNT(F119:J119)&lt;&gt;5,"Missing scores",IF(AND(COUNTIFS(F119:J119,1)+COUNTIFS(F119:J119,2)+COUNTIFS(F119:J119,5)&gt;0,L119=""),"Missing rationale","Complete")))</x:f>
        <x:v>Complete</x:v>
      </x:c>
    </x:row>
    <x:row r="120" ht="180" customHeight="1">
      <x:c r="A120" s="21" t="str">
        <x:v>RATE-35EB0BF62647</x:v>
      </x:c>
      <x:c r="B120" s="21" t="str">
        <x:v>SPEC-12</x:v>
      </x:c>
      <x:c r="C120"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20" s="21" t="str">
        <x:v>Coverage depth: MEDIUM
Depth justification: The change is limited to a specific section of the report, but it may impact the overall report layout and user experience
Functional tests:
1. Verify the Third-Party Delivery Partner detailed sales data section is relocated to the bottom of the Property Financial Report
2. Confirm the summary-level delivery sales in the Order Type section remain unchanged
3. Validate the Tender Media, Group Sales, Discounts, and Service Charges sections are now visible above the relocated Third-Party Delivery Partner section
4. Check the report layout and formatting are consistent with existing design standards
Smoke tests:
1. Verify the Property Financial Report generates without errors after the layout change
2. Confirm the report displays correctly in different browsers and devices
Regression tests:
1. Test existing report functionality to ensure the layout change did not introduce new issues
2. Verify data accuracy and consistency in the relocated Third-Party Delivery Partner section
Integration tests:
1. Test the integration of the relocated section with other report components, such as data filters and sorting
Exploratory tests:
1. Explore the report's behavior with large datasets to ensure performance and formatting are maintained
2. Investigate potential issues with report printing and exporting
Clarification flags:
1. Confirmation on the exact requirements for report formatting and design standards
2. Details on the expected behavior for report printing and exporting
Effort estimate: 10–20 test cases
Effort notes: The estimate assumes a moderate number of test cases are needed to cover the functional and regression testing, with some additional exploratory testing</x:v>
      </x:c>
      <x:c r="E120" s="21" t="str">
        <x:v>Scorable</x:v>
      </x:c>
      <x:c r="F120" s="28" t="n">
        <x:v>3</x:v>
      </x:c>
      <x:c r="G120" s="28" t="n">
        <x:v>3</x:v>
      </x:c>
      <x:c r="H120" s="28" t="n">
        <x:v>4</x:v>
      </x:c>
      <x:c r="I120" s="28" t="n">
        <x:v>2</x:v>
      </x:c>
      <x:c r="J120" s="28" t="n">
        <x:v>3</x:v>
      </x:c>
      <x:c r="K120" s="28" t="n">
        <x:f>IF(E120&lt;&gt;"Scorable","",IF(COUNT(F120:J120)=5,SUM(F120:J120),""))</x:f>
        <x:v>15</x:v>
      </x:c>
      <x:c r="L120" s="24" t="str">
        <x:v>Integration 2: a critical or multiple important consensus expectations remain weak or missing; Frozen implicit consensus elements were treated as essential where applicable.</x:v>
      </x:c>
      <x:c r="M120" s="21" t="str">
        <x:f>IF(E120&lt;&gt;"Scorable","Not scorable",IF(COUNT(F120:J120)&lt;&gt;5,"Missing scores",IF(AND(COUNTIFS(F120:J120,1)+COUNTIFS(F120:J120,2)+COUNTIFS(F120:J120,5)&gt;0,L120=""),"Missing rationale","Complete")))</x:f>
        <x:v>Complete</x:v>
      </x:c>
    </x:row>
    <x:row r="121" ht="180" customHeight="1">
      <x:c r="A121" s="21" t="str">
        <x:v>RATE-F0F53E2138FA</x:v>
      </x:c>
      <x:c r="B121" s="21" t="str">
        <x:v>SPEC-03</x:v>
      </x:c>
      <x:c r="C121"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21" s="21" t="str">
        <x:v>Coverage depth: HIGH
Depth justification: Introduction of new hardware with potential impact on network connectivity and performance across multiple network types
Functional tests:
1. Verify Wi-Fi connectivity for staff/management devices on the new Wi-Fi 7 access points
2. Verify Wi-Fi connectivity for brand-approved devices on the new Wi-Fi 7 access points
3. Verify Wi-Fi connectivity for POS/line-busting tablets on the new Wi-Fi 7 access points
4. Verify Wi-Fi connectivity for guest devices on the new Wi-Fi 7 access points
5. Test roaming and handover between multiple Wi-Fi 7 access points for all network types
6. Validate Wi-Fi 7 access point configuration and firmware version on primary and secondary network templates
Smoke tests:
1. Quick connectivity check for all network types (staff, brand-approved, POS/line-busting, guest) on the new Wi-Fi 7 access points
2. Verify that existing network services (e.g., DHCP, DNS) are functioning as expected on the new Wi-Fi 7 access points
Regression tests:
1. Verify that existing network-dependent applications and services (e.g., POS, line-busting) function as expected on the new Wi-Fi 7 access points
2. Test that the new Wi-Fi 7 access points do not introduce any interoperability issues with existing network devices and infrastructure
Integration tests:
1. Test end-to-end communication between devices on different network types (e.g., staff to POS, guest to brand-approved) over the new Wi-Fi 7 access points
2. Verify integration with existing network security measures (e.g., firewalls, access controls) on the new Wi-Fi 7 access points
Exploratory tests:
1. Test Wi-Fi connectivity under various load conditions (e.g., multiple devices, high-bandwidth applications) on the new Wi-Fi 7 access points
2. Explore the impact of physical obstructions and distance on Wi-Fi signal strength and connectivity on the new Wi-Fi 7 access points
3. Investigate the behavior of devices when switching between the new Wi-Fi 7 access points and existing Wi-Fi 6 access points
Clarification flags:
1. Detailed network topology and device configurations for each network type
2. Specific performance and connectivity requirements for each network type
3. Information on existing network security measures and their expected behavior with the new Wi-Fi 7 access points
Effort estimate: 20–50 test cases
Effort notes: Estimate based on the number of network types, devices, and scenarios to be tested; actual effort may vary depending on test complexity and environment setup</x:v>
      </x:c>
      <x:c r="E121" s="21" t="str">
        <x:v>Scorable</x:v>
      </x:c>
      <x:c r="F121" s="28" t="n">
        <x:v>3</x:v>
      </x:c>
      <x:c r="G121" s="28" t="n">
        <x:v>3</x:v>
      </x:c>
      <x:c r="H121" s="28" t="n">
        <x:v>4</x:v>
      </x:c>
      <x:c r="I121" s="28" t="n">
        <x:v>2</x:v>
      </x:c>
      <x:c r="J121" s="28" t="n">
        <x:v>3</x:v>
      </x:c>
      <x:c r="K121" s="28" t="n">
        <x:f>IF(E121&lt;&gt;"Scorable","",IF(COUNT(F121:J121)=5,SUM(F121:J121),""))</x:f>
        <x:v>15</x:v>
      </x:c>
      <x:c r="L121" s="24" t="str">
        <x:v>Integration 2: a critical or multiple important consensus expectations remain weak or missing; Frozen implicit consensus elements were treated as essential where applicable.</x:v>
      </x:c>
      <x:c r="M121" s="21" t="str">
        <x:f>IF(E121&lt;&gt;"Scorable","Not scorable",IF(COUNT(F121:J121)&lt;&gt;5,"Missing scores",IF(AND(COUNTIFS(F121:J121,1)+COUNTIFS(F121:J121,2)+COUNTIFS(F121:J121,5)&gt;0,L121=""),"Missing rationale","Complete")))</x:f>
        <x:v>Complete</x:v>
      </x:c>
    </x:row>
    <x:row r="122" ht="180" customHeight="1">
      <x:c r="A122" s="21" t="str">
        <x:v>RATE-34A6A115C37C</x:v>
      </x:c>
      <x:c r="B122" s="21" t="str">
        <x:v>SPEC-13</x:v>
      </x:c>
      <x:c r="C122"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22" s="21" t="str">
        <x:v>Coverage depth: MEDIUM
Depth justification: The change involves a configuration update that impacts POS behavior for a specific subset of properties. While the risk is moderate, the potential for misconfiguration or unintended side effects in related zones warrants thorough testing.
Functional tests:
1. Verify that properties assigned to the new zone inherit the standard brand POS configuration.
2. Verify that properties assigned to the new zone display the full-menu page design.
3. Verify that properties assigned to the new zone do not display the limited-menu bakery page design.
4. Verify that properties assigned to the new zone do not display the limited-menu beverage-only page design.
5. Verify that assigning a property to the new zone updates its configuration and page design appropriately.
Smoke tests:
1. Verify that properties in existing zones (non-traditional limited-menu zones) still inherit their correct configurations and page designs.
2. Verify that properties in traditional store zones are unaffected by the new zone addition.
3. Verify that the POS system is operational after the configuration change.
Regression tests:
1. Verify that the hierarchy and zone management interface functions as expected for adding, editing, and removing zones.
2. Verify that existing properties in all zones retain their correct configurations and page designs.
3. Verify that the POS system correctly applies configurations for all existing zones, including traditional and non-traditional zones.
Integration tests:
1. Validate end-to-end data flow from the hierarchy and zone management system to the POS system for properties assigned to the new zone.
2. Verify that the correct full-menu page design is deployed to the POS terminals for properties in the new zone.
3. Verify that the configuration data for the new zone is correctly synchronized across all integrated systems (e.g., reporting, inventory management).
Exploratory tests:
1. Test assigning a property to the new zone and then reassigning it to another zone to ensure configurations and page designs update correctly.
2. Test edge cases where a property is assigned to the new zone but has conflicting custom configurations.
3. Test the behavior when a property is assigned to the new zone but the full-menu page design is unavailable or corrupted.
4. Test the behavior of the POS system when a property is incorrectly assigned to multiple zones, including the new zone.
Clarification flags:
1. What is the expected behavior if a property is assigned to the new zone but has custom configurations? Should custom configurations override the standard brand configuration?
2. Are there any specific reporting or analytics impacts that need to be validated for properties in the new zone?
3. Is there a rollback plan if the new zone configuration causes issues in production?
4. Are there any dependencies on other systems (e.g., inventory, reporting) that need to be explicitly tested for compatibility with the new zone?
Effort estimate: 15–25 test cases
Effort notes: Effort includes validating the new zone's behavior, ensuring no regressions in existing zones, and verifying integration points.</x:v>
      </x:c>
      <x:c r="E122" s="21" t="str">
        <x:v>Scorable</x:v>
      </x:c>
      <x:c r="F122" s="28" t="n">
        <x:v>5</x:v>
      </x:c>
      <x:c r="G122" s="28" t="n">
        <x:v>5</x:v>
      </x:c>
      <x:c r="H122" s="28" t="n">
        <x:v>2</x:v>
      </x:c>
      <x:c r="I122" s="28" t="n">
        <x:v>4</x:v>
      </x:c>
      <x:c r="J122" s="28" t="n">
        <x:v>3</x:v>
      </x:c>
      <x:c r="K122" s="28" t="n">
        <x:f>IF(E122&lt;&gt;"Scorable","",IF(COUNT(F122:J122)=5,SUM(F122:J122),""))</x:f>
        <x:v>19</x:v>
      </x:c>
      <x:c r="L122" s="24" t="str">
        <x:v>Completeness 5: essentially all material consensus expectations are covered at this dimension; Specificity 5: essentially all material consensus expectations are covered at this dimension; Risk 2: a critical or multiple important consensus expectations remain weak or missing; Frozen implicit consensus elements were treated as essential where applicable.</x:v>
      </x:c>
      <x:c r="M122" s="21" t="str">
        <x:f>IF(E122&lt;&gt;"Scorable","Not scorable",IF(COUNT(F122:J122)&lt;&gt;5,"Missing scores",IF(AND(COUNTIFS(F122:J122,1)+COUNTIFS(F122:J122,2)+COUNTIFS(F122:J122,5)&gt;0,L122=""),"Missing rationale","Complete")))</x:f>
        <x:v>Complete</x:v>
      </x:c>
    </x:row>
    <x:row r="123" ht="180" customHeight="1">
      <x:c r="A123" s="21" t="str">
        <x:v>RATE-47BAAE2CC18D</x:v>
      </x:c>
      <x:c r="B123" s="21" t="str">
        <x:v>SPEC-12</x:v>
      </x:c>
      <x:c r="C123"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23" s="21" t="str">
        <x:v>Coverage depth: MEDIUM
Depth justification: The change is an enhancement to the report layout, which may have subtle effects on report readability and usability, but does not introduce new functionality or integrations that would require high coverage depth.
Functional tests:
1. Verify the Third-Party Delivery Partner detailed sales data section is now printed at the bottom of the Property Financial Report, below the Rewards section
2. Confirm the summary-level delivery sales in the Order Type section remain unchanged and display correctly
3. Check the Tender Media, Group Sales, Discounts, and Service Charges sections are now more visible and appear before the relocated Third-Party Delivery Partner section
4. Test the report layout with various data sets to ensure the section reordering does not affect the report's overall formatting and readability
Smoke tests:
1. Quickly verify the report generates without errors and displays the expected sections after the layout change
2. Check for any unexpected changes in report formatting, such as font sizes, margins, or column alignments
Regression tests:
1. Validate the Order Type section still accurately summarizes sales data, including delivery sales
2. Test the Rewards section to ensure it is not affected by the layout change and displays correctly
3. Confirm other report sections, such as Tender Media, Group Sales, Discounts, and Service Charges, continue to function and display as expected
Integration tests:
1. Verify the report data is correctly populated from the underlying financial data sources
2. Test the report generation process with different property settings and data scenarios to ensure the layout change does not introduce integration issues
Exploratory tests:
1. Investigate how the layout change affects the report's usability and readability, particularly for franchisees and accountants
2. Explore edge cases, such as reports with minimal or no data in the Third-Party Delivery Partner section, to ensure the layout adapts correctly
Clarification flags:
1. Are there any specific report formatting or styling guidelines that must be adhered to?
2. How will the change affect reports that are generated for properties with unique or customized settings?
3. Are there any plans to update the report's metadata or data sources as part of this change?
Effort estimate: 15–30 test cases
Effort notes: The estimate assumes a small QA team will perform manual testing, focusing on the key aspects of the report layout change and its potential impact on related sections and integrations.</x:v>
      </x:c>
      <x:c r="E123" s="21" t="str">
        <x:v>Scorable</x:v>
      </x:c>
      <x:c r="F123" s="28" t="n">
        <x:v>3</x:v>
      </x:c>
      <x:c r="G123" s="28" t="n">
        <x:v>3</x:v>
      </x:c>
      <x:c r="H123" s="28" t="n">
        <x:v>3</x:v>
      </x:c>
      <x:c r="I123" s="28" t="n">
        <x:v>2</x:v>
      </x:c>
      <x:c r="J123" s="28" t="n">
        <x:v>1</x:v>
      </x:c>
      <x:c r="K123" s="28" t="n">
        <x:f>IF(E123&lt;&gt;"Scorable","",IF(COUNT(F123:J123)=5,SUM(F123:J123),""))</x:f>
        <x:v>12</x:v>
      </x:c>
      <x:c r="L123" s="24" t="str">
        <x:v>Integration 2: a critical or multiple important consensus expectations remain weak or missing; Clarification 1: the recommendation is fundamentally inadequate for this dimension; Frozen implicit consensus elements were treated as essential where applicable.</x:v>
      </x:c>
      <x:c r="M123" s="21" t="str">
        <x:f>IF(E123&lt;&gt;"Scorable","Not scorable",IF(COUNT(F123:J123)&lt;&gt;5,"Missing scores",IF(AND(COUNTIFS(F123:J123,1)+COUNTIFS(F123:J123,2)+COUNTIFS(F123:J123,5)&gt;0,L123=""),"Missing rationale","Complete")))</x:f>
        <x:v>Complete</x:v>
      </x:c>
    </x:row>
    <x:row r="124" ht="180" customHeight="1">
      <x:c r="A124" s="21" t="str">
        <x:v>RATE-673AB91E8254</x:v>
      </x:c>
      <x:c r="B124" s="21" t="str">
        <x:v>SPEC-17</x:v>
      </x:c>
      <x:c r="C124"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24" s="21" t="str">
        <x:v>Coverage depth: HIGH
Depth justification: This change modifies antivirus exclusions on payment-processing POS terminals, creating direct security and operational risk. Any misconfiguration could expose terminals to malware, disrupt payment processing, or break remote support capabilities. The combination of security sensitivity, financial transaction impact, and multi-environment deployment warrants thorough coverage.
Functional tests:
1. Verify the script executes without errors on a POS terminal running the target Windows version
2. Verify that the correct Windows Defender exclusion paths/processes are added for the remote tunneling tool after script execution
3. Verify the remote tunneling tool is no longer flagged as a security threat by Windows Defender after exclusion is applied
4. Verify a remote support session can be successfully established via the tunneling tool after script execution
5. Verify the script completes within an acceptable time window and exits with a success code
6. Verify the script does not add duplicate exclusions if run more than once on the same terminal
7. Verify the script applies exclusions only for the specified tool version and not for unrelated paths or processes
8. Verify POS application launches and operates normally after script execution
9. Verify payment processing workflows (sale, refund, void) function correctly after exclusion is applied
10. Verify peripheral devices (receipt printer, card reader, barcode scanner) remain functional after script execution
11. Verify Windows Defender real-time protection remains enabled after exclusion is applied
12. Verify the exclusion persists after a POS terminal reboot
13. Verify the exclusion persists after a Windows Defender definition update
Smoke tests:
1. Verify the script runs to completion without throwing a fatal error on at least one representative POS terminal
2. Verify the Windows Defender exclusion entry for the remote tunneling tool is present in the registry or Defender configuration after script execution
3. Verify the POS application starts successfully after script execution
4. Verify the remote tunneling tool can be launched without a Defender quarantine or block event after script execution
Regression tests:
1. Verify existing Windows Defender exclusions present before script execution are not removed or modified
2. Verify Windows Defender scheduled scans still execute and complete after the exclusion is applied
3. Verify no previously passing POS transaction types (sale, refund, void, cash drawer open) are broken after script execution
4. Verify end-of-day reconciliation and reporting functions are unaffected after script execution
5. Verify network connectivity from the POS terminal to payment gateway and back-office systems is unaffected
6. Verify other remote management or monitoring agents already installed on the terminal continue to function normally
7. Verify the script does not alter Windows Firewall rules or other security configurations unintentionally
8. Verify system event logs contain no new critical or error entries attributable to the script or exclusion change
Integration tests:
1. Verify the remote management tool can connect to a POS terminal from the support team's management console after exclusion is applied
2. Verify the script can be deployed remotely via the existing remote management or endpoint management platform and executes correctly
3. Verify the exclusion applied on the POS terminal is reflected correctly in any centralized antivirus management dashboard or reporting tool
4. Verify the tunneling tool's remote session does not interfere with active POS transactions in progress
5. Verify the script deployment and exclusion application work correctly across all lab environment OS configurations (e.g., different Windows 10 builds used on POS hardware)
6. Verify that alerts or tickets generated by Defender threat detections for the tunneling tool are resolved or suppressed after exclusion is applied in the SIEM or monitoring system
Exploratory tests:
1. Explore behavior when the script is executed while a POS transaction is actively in progress
2. Explore behavior when Windows Defender performs a real-time scan of the tunneling tool immediately after exclusion is applied to confirm no race condition
3. Explore what happens if the script is executed on a terminal where the remote tunneling tool is not yet installed
4. Explore behavior when a Windows Defender definition update rolls out shortly after exclusion is applied to confirm exclusion is not overwritten
5. Explore whether the exclusion scope is appropriately narrow — attempt to place a simulated malicious file in the excluded path and observe Defender behavior
6. Explore script behavior on terminals with non-standard POS software configurations or customized Windows images
7. Explore behavior if the script is interrupted mid-execution (e.g., power loss simulation or manual termination) and assess the resulting system state
8. Explore whether the exclusion inadvertently broadens attack surface by reviewing the excluded paths against known threat vectors for POS environments
Clarification flags:
1. Exact file paths, process names, and registry keys targeted by the exclusion are not specified — required to validate exclusion correctness and scope
2. The specific version(s) of the remote tunneling tool being excluded are not identified — needed to confirm version-specific exclusion accuracy
3. The Windows versions and builds deployed across POS terminals are not listed — required to determine environment matrix for lab testing
4. The deployment mechanism for the script (e.g., SCCM, Intune, manual execution, existing remote management tool) is not specified — affects integration test design
5. It is unclear whether a centralized antivirus management console is in use — relevant to integration testing of exclusion visibility and reporting
6. Rollback procedure if the script causes issues is not defined — needed to assess recoverability and to design negative/failure scenario tests
7. Acceptance criteria for 'no unexpected system behaviour' are not defined — a measurable baseline or checklist is needed for pass/fail determination
8. It is not stated whether the exclusion should be applied only to specific store locations or all POS terminals — affects deployment scope and regression risk
9. No information is provided on whether the script requires elevated privileges and how those are granted in the deployment pipeline — relevant to execution and security testing
Effort estimate: 30–55 test cases
Effort notes: Effort scales with the number of distinct lab environment configurations (OS builds, POS software versions, hardware variants) that must be validated. Each environment may require a full pass of smoke and functional tests. Security-focused exploratory testing around exclusion scope should be treated as mandatory, not optional, given the POS payment context.</x:v>
      </x:c>
      <x:c r="E124" s="21" t="str">
        <x:v>Scorable</x:v>
      </x:c>
      <x:c r="F124" s="28" t="n">
        <x:v>5</x:v>
      </x:c>
      <x:c r="G124" s="28" t="n">
        <x:v>5</x:v>
      </x:c>
      <x:c r="H124" s="28" t="n">
        <x:v>5</x:v>
      </x:c>
      <x:c r="I124" s="28" t="n">
        <x:v>5</x:v>
      </x:c>
      <x:c r="J124" s="28" t="n">
        <x:v>5</x:v>
      </x:c>
      <x:c r="K124" s="28" t="n">
        <x:f>IF(E124&lt;&gt;"Scorable","",IF(COUNT(F124:J124)=5,SUM(F124:J124),""))</x:f>
        <x:v>25</x:v>
      </x:c>
      <x:c r="L124"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124" s="21" t="str">
        <x:f>IF(E124&lt;&gt;"Scorable","Not scorable",IF(COUNT(F124:J124)&lt;&gt;5,"Missing scores",IF(AND(COUNTIFS(F124:J124,1)+COUNTIFS(F124:J124,2)+COUNTIFS(F124:J124,5)&gt;0,L124=""),"Missing rationale","Complete")))</x:f>
        <x:v>Complete</x:v>
      </x:c>
    </x:row>
    <x:row r="125" ht="180" customHeight="1">
      <x:c r="A125" s="21" t="str">
        <x:v>RATE-59C0CFD03FD8</x:v>
      </x:c>
      <x:c r="B125" s="21" t="str">
        <x:v>SPEC-01</x:v>
      </x:c>
      <x:c r="C125"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125" s="21" t="str">
        <x:v>Coverage depth: HIGH
Depth justification: The issue impacts the core functionality of the online ordering system and directly affects customer experience. Ensuring accuracy and reliability of the menu sync process is critical.
Functional tests:
1. Verify that marking an item as Out of Stock on the POS updates its status immediately on the POS.
2. Verify that an item marked as Out of Stock on the POS is not orderable on the online web ordering app after the sync interval.
3. Verify that an item marked as Out of Stock on the POS is not orderable on the mobile ordering app after the sync interval.
4. Verify that removing the Out of Stock flag on the POS makes the item visible and orderable again on the online web ordering app.
5. Verify that removing the Out of Stock flag on the POS makes the item visible and orderable again on the mobile ordering app.
Smoke tests:
1. Verify that the menu sync process completes without errors.
2. Verify that a menu item marked as Out of Stock on the POS is reflected as unavailable in the online ordering portal.
Regression tests:
1. Verify that other menu items not marked as Out of Stock remain unaffected during the sync process.
2. Verify that the online ordering portal correctly displays the availability status of all menu items after a sync.
3. Verify that the error message shown to customers attempting to order an Out of Stock item is consistent and user-friendly.
Integration tests:
1. Verify that the POS system correctly sends the Out of Stock status to the online ordering platform during the sync process.
2. Verify that the online ordering platform correctly processes and updates the Out of Stock status received from the POS system.
3. Verify that the sync interval configuration is respected and changes are reflected within the expected timeframe.
Exploratory tests:
1. Test edge cases where multiple items are marked as Out of Stock simultaneously and verify the behavior on the online ordering portal.
2. Test scenarios where the sync process is interrupted or delayed and verify the system's recovery behavior.
3. Test the behavior when an item is marked as Out of Stock and then immediately marked as available again before the sync completes.
Clarification flags:
1. What is the expected sync interval duration for the menu updates?
2. Are there any specific configurations or environments required for testing the POS and online ordering platform integration?
3. What is the expected behavior if the sync process fails or is delayed?
Effort estimate: 15–25 test cases
Effort notes: Effort includes testing across both web and mobile platforms, as well as verifying integration between POS and online systems.</x:v>
      </x:c>
      <x:c r="E125" s="21" t="str">
        <x:v>Scorable</x:v>
      </x:c>
      <x:c r="F125" s="28" t="n">
        <x:v>3</x:v>
      </x:c>
      <x:c r="G125" s="28" t="n">
        <x:v>4</x:v>
      </x:c>
      <x:c r="H125" s="28" t="n">
        <x:v>5</x:v>
      </x:c>
      <x:c r="I125" s="28" t="n">
        <x:v>3</x:v>
      </x:c>
      <x:c r="J125" s="28" t="n">
        <x:v>2</x:v>
      </x:c>
      <x:c r="K125" s="28" t="n">
        <x:f>IF(E125&lt;&gt;"Scorable","",IF(COUNT(F125:J125)=5,SUM(F125:J125),""))</x:f>
        <x:v>17</x:v>
      </x:c>
      <x:c r="L125" s="24" t="str">
        <x:v>Risk 5: depth matches consensus and the justification is materially risk-specific; Clarification 2: a critical or multiple important consensus expectations remain weak or missing; Frozen implicit consensus elements were treated as essential where applicable.</x:v>
      </x:c>
      <x:c r="M125" s="21" t="str">
        <x:f>IF(E125&lt;&gt;"Scorable","Not scorable",IF(COUNT(F125:J125)&lt;&gt;5,"Missing scores",IF(AND(COUNTIFS(F125:J125,1)+COUNTIFS(F125:J125,2)+COUNTIFS(F125:J125,5)&gt;0,L125=""),"Missing rationale","Complete")))</x:f>
        <x:v>Complete</x:v>
      </x:c>
    </x:row>
    <x:row r="126" ht="180" customHeight="1">
      <x:c r="A126" s="21" t="str">
        <x:v>RATE-681B6626EF70</x:v>
      </x:c>
      <x:c r="B126" s="21" t="str">
        <x:v>SPEC-12</x:v>
      </x:c>
      <x:c r="C126"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26" s="21" t="str">
        <x:v>Coverage depth: HIGH
Depth justification: This change affects a financial report used by franchisees and accountants for business-critical decisions. Incorrect section ordering, data mismatches between the Order Type summary and the relocated detail section, or regression in any adjacent financial section could have direct monetary and compliance implications. The number of affected sections and the reconciliation dependency between summary and detail data elevate the risk profile significantly.
Functional tests:
1. Verify that the Third-Party Delivery Partner detailed sales data section appears at the bottom of the Property Financial Report, below the Rewards section.
2. Verify that the Third-Party Delivery Partner detailed sales data section no longer appears immediately under the Order Type section in its previous position.
3. Verify that the Order Type section still displays summary-level delivery sales figures and that those figures are unchanged and accurate after the layout change.
4. Verify that the Rewards section appears immediately above the Third-Party Delivery Partner detailed sales data section in the new layout.
5. Verify that the Tender Media section appears in the correct position — above the Third-Party Delivery Partner detail section and no longer buried after the delivery detail block.
6. Verify that the Group Sales section appears in the correct position relative to Tender Media, Discounts, and Service Charges, and above the Third-Party Delivery Partner detail section.
7. Verify that the Discounts section appears in the correct position above the Third-Party Delivery Partner detail section.
8. Verify that the Service Charges section appears in the correct position above the Third-Party Delivery Partner detail section.
9. Verify that all data values within the Third-Party Delivery Partner detailed sales data section (e.g., partner names, sales amounts, counts) are accurate and match source data after relocation.
10. Verify that the complete section order of the report from top to bottom matches the intended sequence: Order Type → [intervening sections] → Tender Media → Group Sales → Discounts → Service Charges → Rewards → Third-Party Delivery Partner Detail.
11. Verify that no sections are duplicated (e.g., Third-Party Delivery Partner detail does not appear in both the old and new positions).
12. Verify that the report renders correctly when there is no Third-Party Delivery Partner data for the reporting period (section is absent or shows zero/empty state as designed).
13. Verify that the report renders correctly when Third-Party Delivery Partner data is present for multiple delivery partners.
14. Verify that page breaks, headers, and footers are correct when the Third-Party Delivery Partner detail section spans multiple pages at the bottom of the report.
Smoke tests:
1. Generate the Property Financial Report for a property with known Third-Party Delivery Partner activity and confirm the Third-Party Delivery Partner detail section is visible at the bottom of the report, below the Rewards section.
2. Confirm the Order Type section is present and displays delivery sales summary figures without errors.
3. Confirm the Tender Media, Group Sales, Discounts, and Service Charges sections are all visible and appear above the Third-Party Delivery Partner detail section.
Regression tests:
1. Verify that the Order Type section summary totals (including delivery-related line items) match expected values and have not changed due to the layout modification.
2. Verify that the Rewards section data and totals are unaffected and display correctly in its existing position.
3. Verify that Tender Media section data and totals are unaffected by the reordering.
4. Verify that Group Sales section data and totals are unaffected by the reordering.
5. Verify that Discounts section data and totals are unaffected by the reordering.
6. Verify that Service Charges section data and totals are unaffected by the reordering.
7. Verify that report-level grand totals or summary figures (if present) still reconcile correctly after the section move.
8. Verify that the report can be generated successfully for multiple different properties without errors.
9. Verify that the report can be generated for different date ranges (daily, weekly, monthly period) without layout or data errors.
10. Verify that any existing saved or scheduled report configurations still produce a valid report with the new layout.
11. Verify that the print/PDF export of the report reflects the new section order correctly.
12. Verify that column alignment, fonts, and formatting within the Third-Party Delivery Partner detail section are consistent with the rest of the report after relocation.
Integration tests:
1. Verify that the data pipeline feeding the Third-Party Delivery Partner detail section still correctly sources and maps delivery partner sales data to the section in its new position.
2. Verify that the summary-level delivery figures in the Order Type section and the detailed figures in the relocated Third-Party Delivery Partner section reconcile to the same underlying transaction data.
3. Verify that any downstream consumers of the report (e.g., export files, accounting system imports, franchisee portals) correctly handle the new report layout without data mapping errors.
4. Verify that the report generation service produces the correct section order when invoked via any scheduled job or automated trigger.
5. Verify that if the report is exported to Excel or CSV (if supported), the Third-Party Delivery Partner detail rows appear at the bottom in the correct position.
Exploratory tests:
1. Explore report behavior for a property that has zero activity in all sections to confirm no layout breaks or unexpected blank space around the relocated section.
2. Explore the report when Third-Party Delivery Partner detail data is unusually large (many partners, many rows) to check that pagination and page breaks at the bottom of the report are handled gracefully.
3. Explore whether any section cross-references, footnotes, or labels in the Order Type section still correctly reference or describe the Third-Party Delivery Partner detail section now that it has moved.
4. Explore the report on different output media (screen preview, PDF, print) to check for layout inconsistencies specific to the new bottom placement.
5. Explore the report for a property with partial data — e.g., delivery sales exist but some other sections (Rewards, Discounts) have no activity — to verify section ordering is still correct.
6. Explore whether any user-facing help text, report legends, or table of contents (if present) reference the old position of the Third-Party Delivery Partner section and need updating.
7. Explore concurrent report generation for multiple properties to check for any race conditions or data bleed between reports that could affect section content.
Clarification flags:
1. What is the exact and complete intended section order of the full report after the change? The spec implies an order but does not enumerate all sections between Order Type and Tender Media.
2. Are there any cross-references, footnotes, or labels within the Order Type section that explicitly point readers to the Third-Party Delivery Partner detail section? If so, do those need to be updated?
3. Does the report support multiple output formats (PDF, Excel, CSV, print)? If so, which formats are in scope for this change and must be tested?
4. Are there any scheduled or automated report distributions that deliver this report to franchisees or accountants? If so, what triggers them and are they in scope for regression?
5. Is there a report table of contents or summary page that lists section positions? If so, does it need to be updated?
6. What is the expected behavior when the Third-Party Delivery Partner detail section has no data — is the section header still shown with zeros, or is the section omitted entirely?
7. Are there any role-based or property-type variations of this report (e.g., corporate vs. franchise view) that have different layouts and would also be affected?
8. Does any downstream system (accounting software, franchisee portal, BI tool) parse the report by section position or label? If so, the integration impact may be higher than anticipated.
9. What test environments and representative data sets are available to cover properties with and without Third-Party Delivery Partner activity?
Effort estimate: 28–45 test cases
Effort notes: Lower bound assumes a single representative property and output format; upper bound accounts for multiple properties, multiple date ranges, multiple output formats (screen, PDF, export), and edge-case data scenarios. Effort scales with the number of supported export formats and downstream integrations that are confirmed in scope.</x:v>
      </x:c>
      <x:c r="E126" s="21" t="str">
        <x:v>Scorable</x:v>
      </x:c>
      <x:c r="F126" s="28" t="n">
        <x:v>5</x:v>
      </x:c>
      <x:c r="G126" s="28" t="n">
        <x:v>5</x:v>
      </x:c>
      <x:c r="H126" s="28" t="n">
        <x:v>3</x:v>
      </x:c>
      <x:c r="I126" s="28" t="n">
        <x:v>2</x:v>
      </x:c>
      <x:c r="J126" s="28" t="n">
        <x:v>4</x:v>
      </x:c>
      <x:c r="K126" s="28" t="n">
        <x:f>IF(E126&lt;&gt;"Scorable","",IF(COUNT(F126:J126)=5,SUM(F126:J126),""))</x:f>
        <x:v>19</x:v>
      </x:c>
      <x:c r="L126" s="24" t="str">
        <x:v>Completeness 5: essentially all material consensus expectations are covered at this dimension; Specificity 5: essentially all material consensus expectations are covered at this dimension; Integration 2: a critical or multiple important consensus expectations remain weak or missing; Frozen implicit consensus elements were treated as essential where applicable.</x:v>
      </x:c>
      <x:c r="M126" s="21" t="str">
        <x:f>IF(E126&lt;&gt;"Scorable","Not scorable",IF(COUNT(F126:J126)&lt;&gt;5,"Missing scores",IF(AND(COUNTIFS(F126:J126,1)+COUNTIFS(F126:J126,2)+COUNTIFS(F126:J126,5)&gt;0,L126=""),"Missing rationale","Complete")))</x:f>
        <x:v>Complete</x:v>
      </x:c>
    </x:row>
    <x:row r="127" ht="180" customHeight="1">
      <x:c r="A127" s="21" t="str">
        <x:v>RATE-3689B6B06A2B</x:v>
      </x:c>
      <x:c r="B127" s="21" t="str">
        <x:v>SPEC-16</x:v>
      </x:c>
      <x:c r="C127"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27" s="21" t="str">
        <x:v>Terminal invalid JSON. This observation is retained as a structural failure and receives no rubric score.</x:v>
      </x:c>
      <x:c r="E127" s="21" t="str">
        <x:v>Not scorable — terminal invalid JSON</x:v>
      </x:c>
      <x:c r="F127" s="29"/>
      <x:c r="G127" s="29"/>
      <x:c r="H127" s="29"/>
      <x:c r="I127" s="29"/>
      <x:c r="J127" s="29"/>
      <x:c r="K127" s="29" t="str">
        <x:f>IF(E127&lt;&gt;"Scorable","",IF(COUNT(F127:J127)=5,SUM(F127:J127),""))</x:f>
      </x:c>
      <x:c r="L127" s="26"/>
      <x:c r="M127" s="21" t="str">
        <x:f>IF(E127&lt;&gt;"Scorable","Not scorable",IF(COUNT(F127:J127)&lt;&gt;5,"Missing scores",IF(AND(COUNTIFS(F127:J127,1)+COUNTIFS(F127:J127,2)+COUNTIFS(F127:J127,5)&gt;0,L127=""),"Missing rationale","Complete")))</x:f>
        <x:v>Not scorable</x:v>
      </x:c>
    </x:row>
    <x:row r="128" ht="180" customHeight="1">
      <x:c r="A128" s="21" t="str">
        <x:v>RATE-345E2B1912CE</x:v>
      </x:c>
      <x:c r="B128" s="21" t="str">
        <x:v>SPEC-01</x:v>
      </x:c>
      <x:c r="C128"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128" s="21" t="str">
        <x:v>Coverage depth: HIGH
Depth justification: The issue directly impacts customer experience and business operations by preventing accurate menu availability, which could lead to customer dissatisfaction and lost revenue. The integration between the POS and online ordering platform is critical and must be thoroughly validated.
Functional tests:
1. Verify that marking an item as Out of Stock on the POS immediately updates its status to Out of Stock on the POS interface.
2. Verify that an item marked as Out of Stock on the POS is no longer orderable on the online web ordering app after the next menu sync.
3. Verify that an item marked as Out of Stock on the POS is no longer orderable on the mobile ordering app after the next menu sync.
4. Verify that removing the Out of Stock flag on the POS makes the item visible and orderable again on the online web ordering app after the next menu sync.
5. Verify that removing the Out of Stock flag on the POS makes the item visible and orderable again on the mobile ordering app after the next menu sync.
Smoke tests:
1. Verify that the menu sync process completes successfully without errors.
2. Verify that the online ordering portal displays the correct menu items after a menu sync.
Regression tests:
1. Verify that menu items marked as available on the POS are correctly displayed as available on the online ordering portal.
2. Verify that menu items marked as unavailable on the POS are correctly displayed as unavailable on the online ordering portal.
3. Verify that the online ordering portal correctly handles adding available items to the cart and completing checkout.
4. Verify that the online ordering portal displays an appropriate error message when attempting to add an unavailable item to the cart.
Integration tests:
1. Verify that the POS system correctly sends Out of Stock updates to the online ordering platform during the menu sync process.
2. Verify that the online ordering platform correctly processes Out of Stock updates received from the POS system.
3. Verify end-to-end data flow from marking an item Out of Stock on the POS to the item being displayed as unavailable on the online ordering portal.
Exploratory tests:
1. Test the behavior when multiple items are marked as Out of Stock on the POS simultaneously and verify their statuses on the online ordering portal after a menu sync.
2. Test the behavior when an item is marked as Out of Stock and then immediately marked as available again before the next menu sync.
3. Test the behavior when the menu sync process is interrupted or fails and verify the impact on item availability in the online ordering portal.
4. Test the behavior when the POS and online ordering portal are in different time zones and verify the timing of status updates.
5. Test the behavior when the Out of Stock flag is toggled repeatedly in quick succession on the POS and verify the final status on the online ordering portal.
Clarification flags:
1. What is the configured menu sync interval, and can it be adjusted for testing purposes?
2. Are there any known limitations or constraints in the POS-to-online ordering platform integration?
3. What specific error message is displayed to customers when they attempt to add an unavailable item to their cart?
4. Are there any differences in behavior between the web and mobile ordering apps that need to be accounted for?
Effort estimate: 15–25 test cases
Effort notes: The estimate includes functional, regression, integration, and exploratory test cases. The range accounts for potential additional exploratory scenarios based on findings during testing.</x:v>
      </x:c>
      <x:c r="E128" s="21" t="str">
        <x:v>Scorable</x:v>
      </x:c>
      <x:c r="F128" s="28" t="n">
        <x:v>3</x:v>
      </x:c>
      <x:c r="G128" s="28" t="n">
        <x:v>5</x:v>
      </x:c>
      <x:c r="H128" s="28" t="n">
        <x:v>5</x:v>
      </x:c>
      <x:c r="I128" s="28" t="n">
        <x:v>3</x:v>
      </x:c>
      <x:c r="J128" s="28" t="n">
        <x:v>3</x:v>
      </x:c>
      <x:c r="K128" s="28" t="n">
        <x:f>IF(E128&lt;&gt;"Scorable","",IF(COUNT(F128:J128)=5,SUM(F128:J128),""))</x:f>
        <x:v>19</x:v>
      </x:c>
      <x:c r="L128" s="24" t="str">
        <x:v>Specificity 5: essentially all material consensus expectations are covered at this dimension; Risk 5: depth matches consensus and the justification is materially risk-specific; Frozen implicit consensus elements were treated as essential where applicable.</x:v>
      </x:c>
      <x:c r="M128" s="21" t="str">
        <x:f>IF(E128&lt;&gt;"Scorable","Not scorable",IF(COUNT(F128:J128)&lt;&gt;5,"Missing scores",IF(AND(COUNTIFS(F128:J128,1)+COUNTIFS(F128:J128,2)+COUNTIFS(F128:J128,5)&gt;0,L128=""),"Missing rationale","Complete")))</x:f>
        <x:v>Complete</x:v>
      </x:c>
    </x:row>
    <x:row r="129" ht="180" customHeight="1">
      <x:c r="A129" s="21" t="str">
        <x:v>RATE-9D4AAAE27742</x:v>
      </x:c>
      <x:c r="B129" s="21" t="str">
        <x:v>SPEC-11</x:v>
      </x:c>
      <x:c r="C129"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29" s="21" t="str">
        <x:v>Coverage depth: HIGH
Depth justification: New edge case validation with potential impact on business decisions
Functional tests:
1. Verify price lock for advance orders with single item
2. Verify price lock for advance orders with multiple items
3. Test price change before fulfillment for items with discounts
4. Test price change before fulfillment for items with promotions
5. Validate order processing at locked price when sending to POS
Smoke tests:
1. Confirm mobile app functionality after price change
2. Check POS order processing for orders without price changes
3. Verify payment processing for advance orders with price changes
Regression tests:
1. Test existing advance order functionality without price changes
2. Validate mobile app order history and details after price change
3. Confirm POS order fulfillment and inventory updates
Integration tests:
1. End-to-end validation of mobile app to POS order transmission with price lock
2. Verify pricing engine updates and synchronization with POS
3. Test integration with payment gateway for advance orders with price changes
Exploratory tests:
1. Explore edge cases with multiple price changes before fulfillment
2. Test price lock behavior with item quantity changes before fulfillment
3. Investigate mobile app behavior when POS is unavailable during order transmission
Clarification flags:
1. Definition of 'price lock' and its implementation details
2. How price changes are propagated from the pricing engine to the mobile app and POS
3. Expected behavior for concurrent price changes and order fulfillments
4. Any specific product decision dependencies or timelines
Effort estimate: 20–40 test cases
Effort notes: Complexity of pricing engine and POS integration requires thorough testing</x:v>
      </x:c>
      <x:c r="E129" s="21" t="str">
        <x:v>Scorable</x:v>
      </x:c>
      <x:c r="F129" s="28" t="n">
        <x:v>3</x:v>
      </x:c>
      <x:c r="G129" s="28" t="n">
        <x:v>3</x:v>
      </x:c>
      <x:c r="H129" s="28" t="n">
        <x:v>3</x:v>
      </x:c>
      <x:c r="I129" s="28" t="n">
        <x:v>4</x:v>
      </x:c>
      <x:c r="J129" s="28" t="n">
        <x:v>2</x:v>
      </x:c>
      <x:c r="K129" s="28" t="n">
        <x:f>IF(E129&lt;&gt;"Scorable","",IF(COUNT(F129:J129)=5,SUM(F129:J129),""))</x:f>
        <x:v>15</x:v>
      </x:c>
      <x:c r="L129" s="24" t="str">
        <x:v>Clarification 2: a critical or multiple important consensus expectations remain weak or missing; Frozen implicit consensus elements were treated as essential where applicable.</x:v>
      </x:c>
      <x:c r="M129" s="21" t="str">
        <x:f>IF(E129&lt;&gt;"Scorable","Not scorable",IF(COUNT(F129:J129)&lt;&gt;5,"Missing scores",IF(AND(COUNTIFS(F129:J129,1)+COUNTIFS(F129:J129,2)+COUNTIFS(F129:J129,5)&gt;0,L129=""),"Missing rationale","Complete")))</x:f>
        <x:v>Complete</x:v>
      </x:c>
    </x:row>
    <x:row r="130" ht="180" customHeight="1">
      <x:c r="A130" s="21" t="str">
        <x:v>RATE-8ECACEDAFB46</x:v>
      </x:c>
      <x:c r="B130" s="21" t="str">
        <x:v>SPEC-04</x:v>
      </x:c>
      <x:c r="C130"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30" s="21" t="str">
        <x:v>Coverage depth: HIGH
Depth justification: New payment tender type introduction affects multiple system areas including payment processing, POS, financial reporting, analytics, and third-party integrations, thus requiring thorough testing.
Functional tests:
1. Verify the catering voucher tender key is visible and accessible on the POS.
2. Test successful transaction processing using the catering voucher tender key.
3. Validate that the catering voucher tender key behaves like a voucher payment.
4. Confirm that existing in-store catering order type behavior remains unchanged.
5. Verify that POS reporting updates correctly for Property Financial, Employee Financial, and Revenue Center Financial reports when using the catering voucher tender key.
6. Test analytics reports to ensure accurate data for system sales, tender media, POS category, tax, and 24h sales summary with the new tender detail.
Smoke tests:
1. Quick sanity check of POS functionality with the catering voucher tender key.
2. Basic verification of transaction experience with catering voucher tendering.
Regression tests:
1. Test existing POS functionality to ensure no regression with the introduction of the catering voucher tender key.
2. Verify that other payment tender types are unaffected by the new catering voucher tender key.
Integration tests:
1. Test the integration of the catering voucher tender key with third-party data pipeline for sales and data flow to the business intelligence platform.
2. Verify that financial reports and analytics data are correctly sent to and processed by the third-party platform.
Exploratory tests:
1. Explore boundary conditions such as using the catering voucher tender key with other payment methods or with partial payments.
2. Test failure paths such as declined transactions or network issues during transaction processing with the catering voucher tender key.
3. Investigate timing issues, such as delayed or concurrent transactions using the catering voucher tender key.
Clarification flags:
1. Configuration workflow details for the catering voucher tender key
2. Specific requirements or expectations for kitchen display unit order routing once implemented
3. Loyalty program transaction validation rules
4. Third-party reference implementation details for comparison
Effort estimate: 50–100 test cases
Effort notes: Estimate based on the complexity of the new feature, the number of affected system areas, and the need for both functional and regression testing.</x:v>
      </x:c>
      <x:c r="E130" s="21" t="str">
        <x:v>Scorable</x:v>
      </x:c>
      <x:c r="F130" s="28" t="n">
        <x:v>4</x:v>
      </x:c>
      <x:c r="G130" s="28" t="n">
        <x:v>4</x:v>
      </x:c>
      <x:c r="H130" s="28" t="n">
        <x:v>5</x:v>
      </x:c>
      <x:c r="I130" s="28" t="n">
        <x:v>4</x:v>
      </x:c>
      <x:c r="J130" s="28" t="n">
        <x:v>4</x:v>
      </x:c>
      <x:c r="K130" s="28" t="n">
        <x:f>IF(E130&lt;&gt;"Scorable","",IF(COUNT(F130:J130)=5,SUM(F130:J130),""))</x:f>
        <x:v>21</x:v>
      </x:c>
      <x:c r="L130" s="24" t="str">
        <x:v>Risk 5: depth matches consensus and the justification is materially risk-specific; Frozen implicit consensus elements were treated as essential where applicable.</x:v>
      </x:c>
      <x:c r="M130" s="21" t="str">
        <x:f>IF(E130&lt;&gt;"Scorable","Not scorable",IF(COUNT(F130:J130)&lt;&gt;5,"Missing scores",IF(AND(COUNTIFS(F130:J130,1)+COUNTIFS(F130:J130,2)+COUNTIFS(F130:J130,5)&gt;0,L130=""),"Missing rationale","Complete")))</x:f>
        <x:v>Complete</x:v>
      </x:c>
    </x:row>
    <x:row r="131" ht="180" customHeight="1">
      <x:c r="A131" s="21" t="str">
        <x:v>RATE-8999CE01EB50</x:v>
      </x:c>
      <x:c r="B131" s="21" t="str">
        <x:v>SPEC-03</x:v>
      </x:c>
      <x:c r="C131"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31" s="21" t="str">
        <x:v>Terminal invalid JSON. This observation is retained as a structural failure and receives no rubric score.</x:v>
      </x:c>
      <x:c r="E131" s="21" t="str">
        <x:v>Not scorable — terminal invalid JSON</x:v>
      </x:c>
      <x:c r="F131" s="29"/>
      <x:c r="G131" s="29"/>
      <x:c r="H131" s="29"/>
      <x:c r="I131" s="29"/>
      <x:c r="J131" s="29"/>
      <x:c r="K131" s="29" t="str">
        <x:f>IF(E131&lt;&gt;"Scorable","",IF(COUNT(F131:J131)=5,SUM(F131:J131),""))</x:f>
      </x:c>
      <x:c r="L131" s="26"/>
      <x:c r="M131" s="21" t="str">
        <x:f>IF(E131&lt;&gt;"Scorable","Not scorable",IF(COUNT(F131:J131)&lt;&gt;5,"Missing scores",IF(AND(COUNTIFS(F131:J131,1)+COUNTIFS(F131:J131,2)+COUNTIFS(F131:J131,5)&gt;0,L131=""),"Missing rationale","Complete")))</x:f>
        <x:v>Not scorable</x:v>
      </x:c>
    </x:row>
    <x:row r="132" ht="180" customHeight="1">
      <x:c r="A132" s="21" t="str">
        <x:v>RATE-049A93D25D2E</x:v>
      </x:c>
      <x:c r="B132" s="21" t="str">
        <x:v>SPEC-06</x:v>
      </x:c>
      <x:c r="C132"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32" s="21" t="str">
        <x:v>Coverage depth: MEDIUM
Depth justification: The change is significant enough to require thorough testing, but it's still a relatively contained enhancement
Functional tests:
1. Verify that the new time window configuration allows the app to run every day at the defined time window until the end date
2. Test that the start and end dates are correctly separated from the start and end times
3. Validate that the app runs correctly for the defined time window in both POS platform versions 18.x and 19.x
4. Check that the app behaves as expected when the end date is reached
5. Test the app's behavior when the time window spans across midnight
Smoke tests:
1. Verify that the app launches and loads correctly with the new time window configuration
2. Test that the app's basic functionality is not affected by the new time window configuration
Regression tests:
1. Test that the existing functionality of the app is not broken by the new time window configuration
2. Verify that the app still works correctly with the single combined start datetime and end datetime configuration
3. Validate that the app's integration with the POS platform is not affected by the new time window configuration
Integration tests:
1. Test the integration of the Menu Item Availability extension app with the POS platform's scheduling system
2. Verify that the app correctly communicates with the POS platform's API
Exploratory tests:
1. Explore the app's behavior when the time window configuration is changed frequently
2. Test the app's performance under heavy usage with the new time window configuration
Clarification flags:
1. Confirmation on the exact behavior of the app when the end date is reached
2. Details on the non-traditional store locations and their impact on testing
3. Information on any specific testing requirements for POS platform version 18.x
Effort estimate: 20–50 test cases
Effort notes: The estimate may vary depending on the complexity of the testing environment and the availability of test data</x:v>
      </x:c>
      <x:c r="E132" s="21" t="str">
        <x:v>Scorable</x:v>
      </x:c>
      <x:c r="F132" s="28" t="n">
        <x:v>3</x:v>
      </x:c>
      <x:c r="G132" s="28" t="n">
        <x:v>4</x:v>
      </x:c>
      <x:c r="H132" s="28" t="n">
        <x:v>2</x:v>
      </x:c>
      <x:c r="I132" s="28" t="n">
        <x:v>4</x:v>
      </x:c>
      <x:c r="J132" s="28" t="n">
        <x:v>2</x:v>
      </x:c>
      <x:c r="K132" s="28" t="n">
        <x:f>IF(E132&lt;&gt;"Scorable","",IF(COUNT(F132:J132)=5,SUM(F132:J132),""))</x:f>
        <x:v>15</x:v>
      </x:c>
      <x:c r="L132"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132" s="21" t="str">
        <x:f>IF(E132&lt;&gt;"Scorable","Not scorable",IF(COUNT(F132:J132)&lt;&gt;5,"Missing scores",IF(AND(COUNTIFS(F132:J132,1)+COUNTIFS(F132:J132,2)+COUNTIFS(F132:J132,5)&gt;0,L132=""),"Missing rationale","Complete")))</x:f>
        <x:v>Complete</x:v>
      </x:c>
    </x:row>
    <x:row r="133" ht="180" customHeight="1">
      <x:c r="A133" s="21" t="str">
        <x:v>RATE-041F27F96CBC</x:v>
      </x:c>
      <x:c r="B133" s="21" t="str">
        <x:v>SPEC-04</x:v>
      </x:c>
      <x:c r="C133"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33" s="21" t="str">
        <x:v>Coverage depth: HIGH
Depth justification: The feature impacts critical payment processing, financial reporting, and third-party integrations, which are high-priority areas for the business.
Functional tests:
1. Verify that the catering voucher tender key is available on the POS interface.
2. Validate that transactions using the catering voucher tender key are processed correctly and reflect the correct payment amount.
3. Ensure that the catering voucher tender behaves like a voucher payment while maintaining in-store catering order type behavior.
4. Confirm that the catering voucher tender key is only available for applicable transaction types.
Smoke tests:
1. Perform a basic transaction using the catering voucher tender key to ensure it processes without errors.
2. Verify that the POS does not crash or freeze when the catering voucher tender key is used.
3. Check that the catering voucher tender key appears in the tender selection menu.
Regression tests:
1. Verify that existing voucher payment functionality is not affected by the new catering voucher tender key.
2. Ensure that other tender types (e.g., cash, credit card) continue to function as expected.
3. Confirm that in-store catering order type behavior remains unchanged for non-voucher transactions.
4. Validate that existing POS reports (Property Financial, Employee Financial, Revenue Center Financial) remain accurate for non-voucher transactions.
Integration tests:
1. Verify that transactions using the catering voucher tender key are accurately reflected in Property Financial, Employee Financial, and Revenue Center Financial reports.
2. Ensure that analytics reports (system sales, tender media, POS category, tax, 24h sales summary, and new tender detail) include data for catering voucher transactions.
3. Validate that third-party reporting accurately reflects sales data for catering voucher transactions.
4. Confirm that data flows correctly to the business intelligence platform for catering voucher transactions.
Exploratory tests:
1. Test boundary conditions such as maximum and minimum voucher amounts for the catering voucher tender key.
2. Simulate network interruptions during a catering voucher transaction and verify system behavior.
3. Attempt to use the catering voucher tender key for unsupported transaction types and confirm appropriate error handling.
4. Test the behavior of the catering voucher tender key during high transaction volume scenarios.
5. Explore edge cases such as partial payments using the catering voucher tender key combined with other tender types.
Clarification flags:
1. Details on specific catering voucher tender key configurations (e.g., limits, restrictions).
2. Clarification on expected behavior for unsupported transaction types using the catering voucher tender key.
3. Confirmation of any specific analytics or reporting metrics that need to be validated.
4. Details on how third-party reporting and business intelligence data flows are expected to handle catering voucher transactions.
Effort estimate: 25–35 test cases
Effort notes: The estimate accounts for functional, regression, integration, and exploratory testing across multiple system areas.</x:v>
      </x:c>
      <x:c r="E133" s="21" t="str">
        <x:v>Scorable</x:v>
      </x:c>
      <x:c r="F133" s="28" t="n">
        <x:v>4</x:v>
      </x:c>
      <x:c r="G133" s="28" t="n">
        <x:v>5</x:v>
      </x:c>
      <x:c r="H133" s="28" t="n">
        <x:v>4</x:v>
      </x:c>
      <x:c r="I133" s="28" t="n">
        <x:v>5</x:v>
      </x:c>
      <x:c r="J133" s="28" t="n">
        <x:v>3</x:v>
      </x:c>
      <x:c r="K133" s="28" t="n">
        <x:f>IF(E133&lt;&gt;"Scorable","",IF(COUNT(F133:J133)=5,SUM(F133:J133),""))</x:f>
        <x:v>21</x:v>
      </x:c>
      <x:c r="L133" s="24" t="str">
        <x:v>Specificity 5: essentially all material consensus expectations are covered at this dimension; Integration 5: essentially all material consensus expectations are covered at this dimension; Frozen implicit consensus elements were treated as essential where applicable.</x:v>
      </x:c>
      <x:c r="M133" s="21" t="str">
        <x:f>IF(E133&lt;&gt;"Scorable","Not scorable",IF(COUNT(F133:J133)&lt;&gt;5,"Missing scores",IF(AND(COUNTIFS(F133:J133,1)+COUNTIFS(F133:J133,2)+COUNTIFS(F133:J133,5)&gt;0,L133=""),"Missing rationale","Complete")))</x:f>
        <x:v>Complete</x:v>
      </x:c>
    </x:row>
    <x:row r="134" ht="180" customHeight="1">
      <x:c r="A134" s="21" t="str">
        <x:v>RATE-CF29A4EC86ED</x:v>
      </x:c>
      <x:c r="B134" s="21" t="str">
        <x:v>SPEC-05</x:v>
      </x:c>
      <x:c r="C134"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134" s="21" t="str">
        <x:v>Coverage depth: MEDIUM
Depth justification: The feature introduces a new size tier with pricing and configuration changes, which impacts core workflows like ordering and pricing. However, the change is localized to specific menu items and does not introduce entirely new system behavior.
Functional tests:
1. Verify that the extra-large size tier is available for iced coffee, iced latte, and refreshers in the menu.
2. Verify that the extra-large size tier is available for seasonal hero build variants where applicable.
3. Verify that the extra-large size tier prices correctly as 2x the medium beverage price for all applicable items.
4. Verify that the default modifier count for the extra-large size tier is set to 6.
5. Verify that all existing modifications (e.g., add-ons, flavor shots) are available for the extra-large size tier.
Smoke tests:
1. Verify that the extra-large size tier appears in the POS system for iced coffee, iced latte, and refreshers.
2. Verify that the extra-large size tier can be selected and added to an order without errors.
3. Verify that the pricing for the extra-large size tier is correctly calculated in the POS system.
Regression tests:
1. Verify that the pricing for all other size tiers (small, medium, large) remains unchanged.
2. Verify that the default modifier counts for other size tiers remain unchanged.
3. Verify that the seasonal hero build variants for other size tiers are unaffected.
4. Verify that the menu displays correctly across all supported devices and platforms.
Integration tests:
1. Verify that the extra-large size tier is correctly reflected in the pricing engine calculations.
2. Verify that the extra-large size tier is correctly reflected in the end-to-end order flow, including order submission and receipt generation.
3. Verify that the extra-large size tier is correctly reflected in inventory and reporting systems.
Exploratory tests:
1. Test edge cases where a user selects the extra-large size tier but removes all modifiers.
2. Test scenarios where a user applies multiple modifications to the extra-large size tier to ensure pricing and display are correct.
3. Test the behavior of the extra-large size tier in combination with discounts, promotions, or loyalty rewards.
4. Test the behavior of the extra-large size tier when switching between different size tiers during order creation.
5. Test the timing and responsiveness of the POS system when selecting the extra-large size tier.
Clarification flags:
1. Are there any specific seasonal hero build variants that should be tested for the extra-large size tier?
2. Are there any known dependencies or integrations with third-party systems (e.g., inventory management, loyalty programs) that need validation?
3. Should the extra-large size tier be tested for any specific regional or market-specific configurations?
Effort estimate: 15–25 test cases
Effort notes: The range accounts for functional, regression, and integration tests, with some exploratory scenarios included.</x:v>
      </x:c>
      <x:c r="E134" s="21" t="str">
        <x:v>Scorable</x:v>
      </x:c>
      <x:c r="F134" s="28" t="n">
        <x:v>5</x:v>
      </x:c>
      <x:c r="G134" s="28" t="n">
        <x:v>5</x:v>
      </x:c>
      <x:c r="H134" s="28" t="n">
        <x:v>3</x:v>
      </x:c>
      <x:c r="I134" s="28" t="n">
        <x:v>3</x:v>
      </x:c>
      <x:c r="J134" s="28" t="n">
        <x:v>2</x:v>
      </x:c>
      <x:c r="K134" s="28" t="n">
        <x:f>IF(E134&lt;&gt;"Scorable","",IF(COUNT(F134:J134)=5,SUM(F134:J134),""))</x:f>
        <x:v>18</x:v>
      </x:c>
      <x:c r="L134" s="24" t="str">
        <x:v>Completeness 5: essentially all material consensus expectations are covered at this dimension; Specificity 5: essentially all material consensus expectations are covered at this dimension; Clarification 2: a critical or multiple important consensus expectations remain weak or missing; Frozen implicit consensus elements were treated as essential where applicable.</x:v>
      </x:c>
      <x:c r="M134" s="21" t="str">
        <x:f>IF(E134&lt;&gt;"Scorable","Not scorable",IF(COUNT(F134:J134)&lt;&gt;5,"Missing scores",IF(AND(COUNTIFS(F134:J134,1)+COUNTIFS(F134:J134,2)+COUNTIFS(F134:J134,5)&gt;0,L134=""),"Missing rationale","Complete")))</x:f>
        <x:v>Complete</x:v>
      </x:c>
    </x:row>
    <x:row r="135" ht="180" customHeight="1">
      <x:c r="A135" s="21" t="str">
        <x:v>RATE-C3065A30DD43</x:v>
      </x:c>
      <x:c r="B135" s="21" t="str">
        <x:v>SPEC-15</x:v>
      </x:c>
      <x:c r="C135"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35" s="21" t="str">
        <x:v>Coverage depth: LOW
Depth justification: This is a bug fix addressing a UI messaging issue caused by configuration mismatches. The scope of the change is limited to correcting the displayed message for a specific scenario.
Functional tests:
1. Verify that the POS terminal displays 'CANCEL TRANSACTION' when a gift card transaction is canceled with backend cloud processing disabled.
2. Validate that the incorrect message 'VOID NEW ITEMS AND CANCEL TRANSACTION' no longer appears during gift card transaction cancellation.
3. Test the behavior of the POS terminal when canceling a gift card transaction with backend cloud processing explicitly disabled in the configuration.
Smoke tests:
1. Confirm that the POS terminal can still process gift card transactions successfully with backend cloud processing disabled.
2. Verify that other transaction types (e.g., credit card, cash) are not affected by the configuration change.
Regression tests:
1. Ensure that the POS terminal displays the correct messages for other transaction cancellation scenarios (e.g., credit card, cash).
2. Validate that gift card transactions process correctly when backend cloud processing is enabled.
3. Check that the POS terminal does not display any error messages or unexpected behavior during normal gift card transaction flows.
Integration tests:
1. Validate end-to-end gift card transaction cancellation flow with backend cloud processing disabled, ensuring the correct message is displayed and no backend errors occur.
2. Test the synchronization of configuration files between the POS terminal and the backend system to ensure consistency.
Exploratory tests:
1. Test the behavior of the POS terminal when backend cloud processing is toggled on and off multiple times during a session.
2. Probe for edge cases where a gift card transaction is canceled mid-processing to see if the correct message is displayed.
3. Test the behavior when configuration files are partially updated or corrupted to see if the terminal defaults to any fallback messaging.
Clarification flags:
1. What specific configuration files are involved in the mismatch, and how can they be manipulated for testing?
2. Are there any other scenarios where the incorrect message might appear, or is it strictly limited to gift card transaction cancellations?
3. Should testing include different POS terminal models or software versions to ensure consistency?
4. What is the expected behavior if backend cloud processing is enabled during the cancellation?
Effort estimate: 8–12 test cases
Effort notes: Effort is focused on verifying the corrected message, ensuring no side effects in related flows, and probing edge cases.</x:v>
      </x:c>
      <x:c r="E135" s="21" t="str">
        <x:v>Scorable</x:v>
      </x:c>
      <x:c r="F135" s="28" t="n">
        <x:v>5</x:v>
      </x:c>
      <x:c r="G135" s="28" t="n">
        <x:v>5</x:v>
      </x:c>
      <x:c r="H135" s="28" t="n">
        <x:v>3</x:v>
      </x:c>
      <x:c r="I135" s="28" t="n">
        <x:v>4</x:v>
      </x:c>
      <x:c r="J135" s="28" t="n">
        <x:v>5</x:v>
      </x:c>
      <x:c r="K135" s="28" t="n">
        <x:f>IF(E135&lt;&gt;"Scorable","",IF(COUNT(F135:J135)=5,SUM(F135:J135),""))</x:f>
        <x:v>22</x:v>
      </x:c>
      <x:c r="L135" s="24" t="str">
        <x:v>Completeness 5: essentially all material consensus expectations are covered at this dimension; Specificity 5: essentially all material consensus expectations are covered at this dimension; Clarification 5: material consensus ambiguities are directly and actionably addressed; Frozen implicit consensus elements were treated as essential where applicable.</x:v>
      </x:c>
      <x:c r="M135" s="21" t="str">
        <x:f>IF(E135&lt;&gt;"Scorable","Not scorable",IF(COUNT(F135:J135)&lt;&gt;5,"Missing scores",IF(AND(COUNTIFS(F135:J135,1)+COUNTIFS(F135:J135,2)+COUNTIFS(F135:J135,5)&gt;0,L135=""),"Missing rationale","Complete")))</x:f>
        <x:v>Complete</x:v>
      </x:c>
    </x:row>
    <x:row r="136" ht="180" customHeight="1">
      <x:c r="A136" s="21" t="str">
        <x:v>RATE-CFEFD9982F45</x:v>
      </x:c>
      <x:c r="B136" s="21" t="str">
        <x:v>SPEC-11</x:v>
      </x:c>
      <x:c r="C136"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36" s="21" t="str">
        <x:v>Coverage depth: HIGH
Depth justification: The feature directly impacts customer trust and financial accuracy, involves multiple system components (mobile app, pricing engine, POS), and has a high business impact if incorrect.
Functional tests:
1. Verify that an advance order placed with a future pickup time retains the original item prices at the time of ordering.
2. Verify that the mobile app displays the correct locked-in prices in the order summary after the order is placed.
3. Verify that the POS system receives the order with the original locked-in prices, regardless of price changes in the system before fulfillment.
4. Verify that the payment amount matches the locked-in prices and no additional charges are applied at fulfillment.
Smoke tests:
1. Verify that an advance order can be successfully placed and processed without price changes in the system.
2. Verify that the mobile app can send an advance order to the POS system without errors.
Regression tests:
1. Verify that placing a same-day order processes with the current item prices.
2. Verify that price changes in the system do not affect orders that are already fulfilled.
3. Verify that the mobile app correctly updates item prices for new orders after a price change.
Integration tests:
1. Verify that the mobile app correctly communicates locked-in prices to the backend system when an advance order is placed.
2. Verify that the backend system correctly transmits locked-in prices to the POS system during order fulfillment.
3. Verify that the pricing engine correctly handles price changes without affecting locked-in prices for existing orders.
Exploratory tests:
1. Test scenarios where multiple items in an advance order have price changes before fulfillment.
2. Test scenarios where only some items in an advance order have price changes before fulfillment.
3. Test scenarios where the price of an item changes multiple times before fulfillment.
4. Test scenarios where the order is modified (e.g., item added or removed) after a price change but before fulfillment.
5. Test scenarios where the system experiences a delay in transmitting the order to the POS system.
Clarification flags:
1. Clarify whether the price lock behavior applies to all item types or only specific categories.
2. Confirm whether the system supports partial order modifications after the order is placed.
3. Clarify how the system handles price changes that occur during the order transmission to the POS system.
Effort estimate: 12–20 test cases
Effort notes: The high coverage depth and multiple edge cases require a thorough test plan, but the scope is manageable for a small QA team.</x:v>
      </x:c>
      <x:c r="E136" s="21" t="str">
        <x:v>Scorable</x:v>
      </x:c>
      <x:c r="F136" s="28" t="n">
        <x:v>4</x:v>
      </x:c>
      <x:c r="G136" s="28" t="n">
        <x:v>4</x:v>
      </x:c>
      <x:c r="H136" s="28" t="n">
        <x:v>5</x:v>
      </x:c>
      <x:c r="I136" s="28" t="n">
        <x:v>5</x:v>
      </x:c>
      <x:c r="J136" s="28" t="n">
        <x:v>3</x:v>
      </x:c>
      <x:c r="K136" s="28" t="n">
        <x:f>IF(E136&lt;&gt;"Scorable","",IF(COUNT(F136:J136)=5,SUM(F136:J136),""))</x:f>
        <x:v>21</x:v>
      </x:c>
      <x:c r="L136" s="24" t="str">
        <x:v>Risk 5: depth matches consensus and the justification is materially risk-specific; Integration 5: essentially all material consensus expectations are covered at this dimension; Frozen implicit consensus elements were treated as essential where applicable.</x:v>
      </x:c>
      <x:c r="M136" s="21" t="str">
        <x:f>IF(E136&lt;&gt;"Scorable","Not scorable",IF(COUNT(F136:J136)&lt;&gt;5,"Missing scores",IF(AND(COUNTIFS(F136:J136,1)+COUNTIFS(F136:J136,2)+COUNTIFS(F136:J136,5)&gt;0,L136=""),"Missing rationale","Complete")))</x:f>
        <x:v>Complete</x:v>
      </x:c>
    </x:row>
    <x:row r="137" ht="180" customHeight="1">
      <x:c r="A137" s="21" t="str">
        <x:v>RATE-D1177BB0CF0B</x:v>
      </x:c>
      <x:c r="B137" s="21" t="str">
        <x:v>SPEC-01</x:v>
      </x:c>
      <x:c r="C137"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137" s="21" t="str">
        <x:v>Coverage depth: MEDIUM
Depth justification: The change is a bug fix with integration implications, requiring validation of both the specific fix and adjacent functionality without the need for exhaustive testing.
Functional tests:
1. Verify that marking an item as Out of Stock on the POS immediately updates its status on the POS interface.
2. Verify that an item marked as Out of Stock on the POS is no longer orderable on the online web ordering platform after the next sync cycle.
3. Verify that an item marked as Out of Stock on the POS is no longer orderable on the mobile ordering app after the next sync cycle.
4. Verify that removing the Out of Stock flag on the POS makes the item visible and orderable again on the online web ordering platform after the next sync cycle.
5. Verify that removing the Out of Stock flag on the POS makes the item visible and orderable again on the mobile ordering app after the next sync cycle.
Smoke tests:
1. Verify that the POS system remains functional and responsive after marking an item as Out of Stock.
2. Verify that the online ordering platform (web and mobile) loads menus correctly after a sync cycle.
3. Verify that customers can successfully complete orders for items not marked as Out of Stock.
Regression tests:
1. Verify that other menu updates (e.g., price changes, new items) propagate correctly from the POS to the online ordering platform.
2. Verify that items marked as Out of Stock on the POS do not appear in search results on the online ordering platform.
3. Verify that the sync interval configuration is respected and does not introduce delays for other menu updates.
4. Verify that the error message shown to customers when attempting to order an unavailable item is clear and accurate.
Integration tests:
1. Validate the end-to-end data flow from the POS system to the online ordering platform for Out of Stock updates, including database updates and API calls.
2. Validate that the sync process logs errors correctly if the Out of Stock update fails to propagate.
3. Verify that the sync process handles concurrent updates to multiple menu items correctly.
4. Verify that the Out of Stock status is correctly reflected in the database tables used by the online ordering platform.
Exploratory tests:
1. Test the behavior when multiple items are marked as Out of Stock simultaneously on the POS.
2. Test the behavior when an item is marked as Out of Stock and then immediately marked back as available before the next sync cycle.
3. Test the behavior when the sync process is interrupted (e.g., network failure) and resumes later.
4. Test the behavior when an item marked as Out of Stock is part of an active customer cart on the online ordering platform.
5. Test the behavior when the Out of Stock flag is applied to items with special pricing or promotions.
Clarification flags:
1. What is the configured sync interval for the menu updates? This affects the timing of test validations.
2. Are there any known limitations or constraints in the sync process (e.g., maximum number of items that can be updated in one cycle)?
3. What specific error message should customers see when attempting to order an unavailable item?
4. Are there any differences in behavior between the web and mobile ordering platforms that need to be accounted for?
5. Is there a way to manually trigger a sync cycle for testing purposes, or must we rely on the configured interval?
Effort estimate: 15–25 test cases
Effort notes: Effort includes functional, smoke, regression, and integration testing, with additional exploratory testing for edge cases.</x:v>
      </x:c>
      <x:c r="E137" s="21" t="str">
        <x:v>Scorable</x:v>
      </x:c>
      <x:c r="F137" s="28" t="n">
        <x:v>3</x:v>
      </x:c>
      <x:c r="G137" s="28" t="n">
        <x:v>4</x:v>
      </x:c>
      <x:c r="H137" s="28" t="n">
        <x:v>2</x:v>
      </x:c>
      <x:c r="I137" s="28" t="n">
        <x:v>3</x:v>
      </x:c>
      <x:c r="J137" s="28" t="n">
        <x:v>2</x:v>
      </x:c>
      <x:c r="K137" s="28" t="n">
        <x:f>IF(E137&lt;&gt;"Scorable","",IF(COUNT(F137:J137)=5,SUM(F137:J137),""))</x:f>
        <x:v>14</x:v>
      </x:c>
      <x:c r="L137"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137" s="21" t="str">
        <x:f>IF(E137&lt;&gt;"Scorable","Not scorable",IF(COUNT(F137:J137)&lt;&gt;5,"Missing scores",IF(AND(COUNTIFS(F137:J137,1)+COUNTIFS(F137:J137,2)+COUNTIFS(F137:J137,5)&gt;0,L137=""),"Missing rationale","Complete")))</x:f>
        <x:v>Complete</x:v>
      </x:c>
    </x:row>
    <x:row r="138" ht="180" customHeight="1">
      <x:c r="A138" s="21" t="str">
        <x:v>RATE-E52798609AA5</x:v>
      </x:c>
      <x:c r="B138" s="21" t="str">
        <x:v>SPEC-10</x:v>
      </x:c>
      <x:c r="C138"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38" s="21" t="str">
        <x:v>Coverage depth: HIGH
Depth justification: SSL certificate rotation is a security-critical infrastructure change with a hard deadline and direct risk of service disruption to loyalty platform integration across POS terminals and tablets. Multiple system touchpoints (CMS, POS platform, tablets, external vendor) increase the blast radius of misconfiguration, warranting thorough coverage.
Functional tests:
1. Verify that the certificate import process runs successfully on POS terminals and imports the new SSL certificate without errors
2. Verify that the certificate import process runs successfully on tablets and imports the new SSL certificate without errors
3. Verify that the POS platform correctly references the new certificate based on content management page settings
4. Verify that content management page settings are updated to point to the new certificate and are saved/published correctly
5. Verify that the loyalty platform integration establishes a successful HTTPS connection using the new certificate
6. Verify that loyalty platform transactions (e.g., earn, redeem, lookup) complete successfully end-to-end after certificate renewal
7. Verify that the new certificate is valid, not expired, and issued by the expected certificate authority
8. Verify that the certificate common name / SAN matches the expected domain(s) used by the loyalty platform integration
9. Verify that only the affected brand's integration is updated and other brands are not impacted
10. Verify that the old certificate is no longer accepted or referenced after cutover
11. Verify that certificate renewal does not affect POS terminal normal transaction processing (non-loyalty flows)
12. Verify that certificate renewal does not affect tablet normal transaction processing (non-loyalty flows)
Smoke tests:
1. Confirm the new SSL certificate is importable on at least one POS terminal in the UAT environment zone without errors
2. Confirm the new SSL certificate is importable on at least one tablet in the UAT environment zone without errors
3. Confirm the loyalty platform integration endpoint is reachable via HTTPS using the new certificate in UAT
4. Confirm a basic loyalty transaction (e.g., member lookup) succeeds end-to-end in UAT after certificate import
5. Confirm content management page settings correctly reference the new certificate in UAT
Regression tests:
1. Verify that existing loyalty platform integration flows (earn points, redeem rewards, member lookup) continue to function as before
2. Verify that POS terminal payment processing is unaffected by the certificate change
3. Verify that tablet payment and order processing are unaffected by the certificate change
4. Verify that content management configurations for other integrations or brands are unchanged
5. Verify that no other SSL certificates or integrations on the POS platform have been inadvertently modified
6. Verify that the certificate import process does not interfere with other scheduled processes on POS terminals or tablets
7. Verify that loyalty platform session handling and timeout behavior remain consistent post-renewal
Integration tests:
1. Verify end-to-end TLS handshake between POS terminals and the external loyalty platform vendor's servers using the new certificate
2. Verify end-to-end TLS handshake between tablets and the external loyalty platform vendor's servers using the new certificate
3. Verify that the loyalty platform vendor's server presents the new certificate and that the POS platform trusts it (chain of trust validation)
4. Verify that the loyalty platform API responses are correctly received and processed by the POS platform after certificate rotation
5. Verify that content management page settings drive the correct certificate reference in the POS platform's integration calls to the loyalty platform
6. Verify that certificate renewal in UAT environment zone behaves consistently with expected production configuration
7. Verify that any certificate pinning or trust store configurations on POS terminals and tablets are updated to accept the new certificate
Exploratory tests:
1. Explore behavior when the certificate import process is interrupted mid-execution on a POS terminal or tablet
2. Explore what happens if the content management page settings reference the old certificate after the new one is deployed
3. Explore system behavior if the loyalty platform vendor's server certificate and the imported client certificate are mismatched
4. Explore edge cases around certificate expiry boundary dates to confirm no grace-period assumptions exist in the integration
5. Explore whether any caching layer (POS platform, middleware, or CMS) retains the old certificate reference and causes intermittent failures
6. Explore behavior on POS terminals or tablets that may have missed the import process (e.g., offline devices)
7. Explore error messaging and fallback behavior presented to staff when the loyalty integration fails due to a certificate issue
Clarification flags:
1. Are there multiple POS terminal models or tablet hardware variants that each require separate certificate import validation?
2. Is the certificate import process automated/scripted or manually executed, and what triggers it on each device?
3. What is the exact content management page setting that references the certificate — is it a file path, thumbprint, alias, or URL?
4. Has the external loyalty platform vendor confirmed installation of the new certificate on their servers, and is there a test endpoint available in UAT?
5. Are there any certificate pinning implementations on POS terminals or tablets that require trust store updates in addition to the import process?
6. What is the rollback plan if the new certificate causes integration failures, and should rollback procedures be tested?
7. How many POS terminals and tablets are in scope, and will testing cover a representative sample or all devices?
8. Is there a middleware or API gateway layer between the POS platform and the loyalty platform that also needs certificate updates?
9. Are there any other environments (staging, pre-prod) beyond UAT where the certificate must be validated before production deployment?
10. What monitoring or alerting is in place to detect certificate-related failures post-deployment in production?
Effort estimate: 30–50 test cases
Effort notes: Effort is driven by the number of device types (POS terminals and tablets), the multi-system integration chain (CMS, POS platform, loyalty vendor), and the need to validate both the import process and end-to-end connectivity. Additional cases may be needed if multiple POS terminal models or tablet configurations exist. UAT environment zone availability should be confirmed early to avoid blocking test execution.</x:v>
      </x:c>
      <x:c r="E138" s="21" t="str">
        <x:v>Scorable</x:v>
      </x:c>
      <x:c r="F138" s="28" t="n">
        <x:v>5</x:v>
      </x:c>
      <x:c r="G138" s="28" t="n">
        <x:v>5</x:v>
      </x:c>
      <x:c r="H138" s="28" t="n">
        <x:v>5</x:v>
      </x:c>
      <x:c r="I138" s="28" t="n">
        <x:v>4</x:v>
      </x:c>
      <x:c r="J138" s="28" t="n">
        <x:v>4</x:v>
      </x:c>
      <x:c r="K138" s="28" t="n">
        <x:f>IF(E138&lt;&gt;"Scorable","",IF(COUNT(F138:J138)=5,SUM(F138:J138),""))</x:f>
        <x:v>23</x:v>
      </x:c>
      <x:c r="L138" s="24" t="str">
        <x:v>Completeness 5: essentially all material consensus expectations are covered at this dimension; Specificity 5: essentially all material consensus expectations are covered at this dimension; Risk 5: depth matches consensus and the justification is materially risk-specific; Frozen implicit consensus elements were treated as essential where applicable.</x:v>
      </x:c>
      <x:c r="M138" s="21" t="str">
        <x:f>IF(E138&lt;&gt;"Scorable","Not scorable",IF(COUNT(F138:J138)&lt;&gt;5,"Missing scores",IF(AND(COUNTIFS(F138:J138,1)+COUNTIFS(F138:J138,2)+COUNTIFS(F138:J138,5)&gt;0,L138=""),"Missing rationale","Complete")))</x:f>
        <x:v>Complete</x:v>
      </x:c>
    </x:row>
    <x:row r="139" ht="180" customHeight="1">
      <x:c r="A139" s="21" t="str">
        <x:v>RATE-D2DC961F6D89</x:v>
      </x:c>
      <x:c r="B139" s="21" t="str">
        <x:v>SPEC-02</x:v>
      </x:c>
      <x:c r="C139"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39" s="21" t="str">
        <x:v>Coverage depth: HIGH
Depth justification: The firmware update addresses a critical issue in payment processing, and testing must ensure reliability across all supported device/POS combinations.
Functional tests:
1. Verify that the firmware update is successfully applied to all terminal models (A, B, C) across POS versions v18 and v19.
2. Test that a transaction completes successfully when the network cable is unplugged and reconnected mid-transaction for each device/POS combination.
3. Validate that the terminal can re-establish a connection after the cable is reconnected and a new transaction is initiated.
4. Ensure that no communication errors occur during normal transactions without cable disconnection.
Smoke tests:
1. Confirm that the payment terminal powers on and initializes correctly after the firmware update.
2. Verify that basic transactions complete successfully without any cable disconnection across all device/POS combinations.
Regression tests:
1. Test all standard transaction workflows (e.g., chip, contactless, and swipe payments) to ensure no new issues are introduced by the firmware update.
2. Validate error handling for other known scenarios, such as card removal mid-transaction, to confirm no regressions.
3. Verify that the terminal correctly handles network interruptions unrelated to cable disconnection.
Integration tests:
1. Test the end-to-end payment processing flow from the POS to the payment terminal and back to the payment gateway for all device/POS combinations.
2. Validate that the terminal correctly logs and reports transaction statuses to the POS after reconnection.
3. Ensure compatibility between the updated firmware and the POS software versions (v18 and v19).
Exploratory tests:
1. Simulate multiple rapid cable disconnections and reconnections to observe system behavior.
2. Test edge cases such as reconnecting the cable after an extended delay or during different transaction stages.
3. Explore any potential impacts on terminal performance or responsiveness after the firmware update.
Clarification flags:
1. Are there any specific performance benchmarks or metrics that the firmware update must meet?
2. Should testing include scenarios with different network conditions (e.g., high latency, packet loss)?
3. Are there any additional device models or POS versions that need to be tested beyond the specified combinations?
Effort estimate: 30–50 test cases
Effort notes: The estimate includes functional, regression, and integration tests across six device/POS combinations, with additional exploratory testing for edge cases.</x:v>
      </x:c>
      <x:c r="E139" s="21" t="str">
        <x:v>Scorable</x:v>
      </x:c>
      <x:c r="F139" s="28" t="n">
        <x:v>5</x:v>
      </x:c>
      <x:c r="G139" s="28" t="n">
        <x:v>4</x:v>
      </x:c>
      <x:c r="H139" s="28" t="n">
        <x:v>5</x:v>
      </x:c>
      <x:c r="I139" s="28" t="n">
        <x:v>5</x:v>
      </x:c>
      <x:c r="J139" s="28" t="n">
        <x:v>2</x:v>
      </x:c>
      <x:c r="K139" s="28" t="n">
        <x:f>IF(E139&lt;&gt;"Scorable","",IF(COUNT(F139:J139)=5,SUM(F139:J139),""))</x:f>
        <x:v>21</x:v>
      </x:c>
      <x:c r="L139" s="24" t="str">
        <x:v>Completeness 5: essentially all material consensus expectations are covered at this dimension; Risk 5: depth matches consensus and the justification is materially risk-specific; Integration 5: essentially all material consensus expectations are covered at this dimension; Clarification 2: a critical or multiple important consensus expectations remain weak or missing; Frozen implicit consensus elements were treated as essential where applicable.</x:v>
      </x:c>
      <x:c r="M139" s="21" t="str">
        <x:f>IF(E139&lt;&gt;"Scorable","Not scorable",IF(COUNT(F139:J139)&lt;&gt;5,"Missing scores",IF(AND(COUNTIFS(F139:J139,1)+COUNTIFS(F139:J139,2)+COUNTIFS(F139:J139,5)&gt;0,L139=""),"Missing rationale","Complete")))</x:f>
        <x:v>Complete</x:v>
      </x:c>
    </x:row>
    <x:row r="140" ht="180" customHeight="1">
      <x:c r="A140" s="21" t="str">
        <x:v>RATE-8067B8721115</x:v>
      </x:c>
      <x:c r="B140" s="21" t="str">
        <x:v>SPEC-15</x:v>
      </x:c>
      <x:c r="C140"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40" s="21" t="str">
        <x:v>Coverage depth: MEDIUM
Depth justification: The fix is specific to the gift card transaction cancellation messaging, but it requires validation of the POS terminal display and integration with the backend system
Functional tests:
1. Verify the correct message 'CANCEL TRANSACTION' is displayed on the POS terminal when a crew member cancels a gift card transaction with cloud processing disabled
2. Validate that the incorrect message 'VOID NEW ITEMS AND CANCEL TRANSACTION' is no longer displayed on the POS terminal when a gift card transaction is cancelled
Smoke tests:
1. Confirm the POS terminal displays the expected message when a gift card transaction is cancelled with cloud processing disabled
2. Verify the POS terminal functionality is not impacted by the fix, with all other transactions and operations working as expected
Regression tests:
1. Test gift card transactions with various scenarios (e.g., partial redemption, full redemption, cancellation) to ensure the fix does not introduce new issues
2. Validate the fix does not affect other types of transactions (e.g., cash, credit) or functionality on the POS terminal
Integration tests:
1. Verify the integration between the POS terminal and the backend system (with cloud processing disabled) to ensure the correct message is displayed when a gift card transaction is cancelled
2. Test the scenario where multiple gift card transactions are cancelled in a row to ensure the correct message is consistently displayed
Exploratory tests:
1. Explore the POS terminal's behavior when a gift card transaction is cancelled under different conditions (e.g., network connectivity issues, low battery)
2. Investigate the impact of the fix on the user experience, including any potential changes to the transaction flow or error handling
Clarification flags:
1. Confirmation of the exact configuration files that need to be corrected or overrides that need to be removed
2. Details on the expected behavior when cloud processing is re-enabled after the fix
Effort estimate: 10–20 test cases
Effort notes: The estimate includes testing the fix with various gift card transaction scenarios, regression testing, and exploratory testing to ensure the fix does not introduce new issues</x:v>
      </x:c>
      <x:c r="E140" s="21" t="str">
        <x:v>Scorable</x:v>
      </x:c>
      <x:c r="F140" s="28" t="n">
        <x:v>5</x:v>
      </x:c>
      <x:c r="G140" s="28" t="n">
        <x:v>4</x:v>
      </x:c>
      <x:c r="H140" s="28" t="n">
        <x:v>5</x:v>
      </x:c>
      <x:c r="I140" s="28" t="n">
        <x:v>4</x:v>
      </x:c>
      <x:c r="J140" s="28" t="n">
        <x:v>4</x:v>
      </x:c>
      <x:c r="K140" s="28" t="n">
        <x:f>IF(E140&lt;&gt;"Scorable","",IF(COUNT(F140:J140)=5,SUM(F140:J140),""))</x:f>
        <x:v>22</x:v>
      </x:c>
      <x:c r="L140" s="24" t="str">
        <x:v>Completeness 5: essentially all material consensus expectations are covered at this dimension; Risk 5: depth matches consensus and the justification is materially risk-specific; Frozen implicit consensus elements were treated as essential where applicable.</x:v>
      </x:c>
      <x:c r="M140" s="21" t="str">
        <x:f>IF(E140&lt;&gt;"Scorable","Not scorable",IF(COUNT(F140:J140)&lt;&gt;5,"Missing scores",IF(AND(COUNTIFS(F140:J140,1)+COUNTIFS(F140:J140,2)+COUNTIFS(F140:J140,5)&gt;0,L140=""),"Missing rationale","Complete")))</x:f>
        <x:v>Complete</x:v>
      </x:c>
    </x:row>
    <x:row r="141" ht="180" customHeight="1">
      <x:c r="A141" s="21" t="str">
        <x:v>RATE-C352F24C41FC</x:v>
      </x:c>
      <x:c r="B141" s="21" t="str">
        <x:v>SPEC-09</x:v>
      </x:c>
      <x:c r="C141"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141" s="21" t="str">
        <x:v>Coverage depth: HIGH
Depth justification: Although the change is a single percentage value update, it has high business impact due to financial/contractual implications, affects two brands, spans multiple environments (UAT, Pre-Production, Production), involves a third-party integration with its own change dependency, and carries ambiguity around retroactivity that could cause significant data integrity or reconciliation issues if incorrect. The multi-environment requirement and external reporting platform dependency further elevate risk.
Functional tests:
1. Verify that the delivery markup percentage for the targeted third-party delivery platform is updated from 25% to 26% in the Data Mapping settings of the reporting/analytics configuration tool.
2. Verify that the markup change is applied to both brands that use the targeted third-party delivery platform, and that each brand reflects 26% independently.
3. Verify that transactions dated on or after the defined effective date use the 26% markup value in all reports and analytics outputs.
4. Confirm with the specification owner whether the change is retroactive or prospective, then verify that transactions dated before the effective date retain the original 25% markup (prospective-only scenario) OR are recalculated at 26% (retroactive scenario).
5. Verify that the markup percentage for all other third-party delivery platforms remains unchanged at their existing configured values after the update is saved.
6. Verify that saving the updated 26% markup value in the Data Mapping settings persists correctly after page refresh and re-login.
7. Verify that calculated delivery markup dollar amounts in reports match the expected value when applying 26% to sample transaction totals for the targeted platform.
8. Verify that both brands' reports show consistent markup calculation logic (same formula, same effective date boundary) for the targeted platform.
9. Verify that any summary, aggregate, or rollup reports that include delivery markup figures reflect the updated 26% for the targeted platform from the effective date onward.
10. Verify that the effective date field, if configurable, correctly gates the markup rate change and does not apply the new rate to transactions outside the defined window.
Smoke tests:
1. Confirm the Data Mapping settings screen loads successfully in UAT, Pre-Production, and Production environments.
2. Confirm the targeted third-party delivery platform entry is visible and editable in the Data Mapping settings.
3. Confirm the markup value displayed for the targeted platform reads 26% after the configuration change is applied in each environment.
4. Confirm that at least one sample report for each brand pulls delivery markup data without error after the configuration change.
Regression tests:
1. Verify that the markup percentage for each other third-party delivery platform (not the targeted one) is unchanged and still calculates correctly in reports.
2. Verify that delivery markup calculations for the targeted platform under Brand 1 are unaffected for transactions prior to the effective date (25% still applied where applicable).
3. Verify that delivery markup calculations for the targeted platform under Brand 2 are unaffected for transactions prior to the effective date (25% still applied where applicable).
4. Verify that total revenue, net revenue, and any derived financial metrics in existing reports are not corrupted or double-counted due to the markup configuration change.
5. Verify that scheduled or automated report exports (if any) continue to run and produce output after the configuration change.
6. Verify that other Data Mapping settings fields (e.g., platform names, tax mappings, fee mappings) were not inadvertently altered when saving the markup update.
7. Verify that user roles and permissions for accessing Data Mapping settings are unchanged after the configuration update.
8. Verify that historical reports generated before the configuration change can still be retrieved and display the correct historical markup values.
Integration tests:
1. Verify that the data pipeline correctly ingests the updated 26% markup configuration and applies it when processing new transactions from the targeted third-party delivery platform.
2. Verify that the separate third-party reporting platform (if updated on their side) reflects the same 26% markup value and that figures reconcile with internal reporting for the same date range and brand.
3. Verify that transaction records flowing from the targeted third-party delivery platform through the data pipeline to the analytics layer carry the correct markup rate based on transaction date relative to the effective date.
4. Verify that any API or data feed between the internal reporting/analytics configuration tool and downstream consumers (dashboards, exports, BI tools) reflects the updated markup without manual intervention.
5. Verify end-to-end data flow: a new transaction on the targeted platform post-effective-date enters the pipeline, is processed with 26% markup, and appears correctly in the final report output for both brands.
6. Verify that the third-party reporting platform's figures do not diverge from internal figures for the targeted platform after both sides apply the 26% change, using a reconciliation check on a shared date range.
Exploratory tests:
1. Explore what happens if the effective date is set to a past date — does the system retroactively recalculate existing transactions, and is there any data integrity risk or audit trail?
2. Explore the behavior at the exact boundary of the effective date: test transactions timestamped at 11:59 PM the day before and 12:00 AM on the effective date to confirm correct rate application and identify any timezone handling issues.
3. Explore whether entering an invalid markup value (e.g., negative number, non-numeric characters, value over 100%, empty field) in the Data Mapping settings produces appropriate validation errors and does not corrupt existing configuration.
4. Explore concurrent editing: attempt to save the markup configuration from two different user sessions simultaneously and verify no data corruption or silent overwrite occurs.
5. Explore the audit log or change history (if available) to confirm the markup change from 25% to 26% is recorded with timestamp, effective date, and the identity of the user who made the change.
6. Explore whether the markup change affects any in-flight or pending transactions that were initiated before the effective date but settled after it.
7. Explore report filtering by platform: verify that filtering a report to show only the targeted platform isolates the 26% markup correctly and does not bleed into other platform rows.
8. Explore the Production environment change deployment process to confirm there is a rollback path if the 26% value is applied incorrectly, and test that rollback restores the 25% value without data loss.
Clarification flags:
1. Is the markup change retroactive (applied to all historical transactions) or strictly prospective (applied only to transactions on or after the effective date)? This fundamentally changes the regression and data integrity test scope.
2. What is the exact effective date and time, and in which timezone? This is required to define the precise boundary condition for date-edge testing.
3. Is the separate third-party reporting platform change confirmed to be in scope for this QA cycle, and who is responsible for making and verifying that change?
4. What is the exact formula used to apply the markup percentage — is it applied to gross transaction value, net, or another base amount? This is needed to calculate expected values for verification.
5. Are there any automated reconciliation jobs or alerts that compare internal markup figures to the third-party platform figures, and will they need to be re-baselined after the change?
6. Is there an audit log or change history feature in the Data Mapping settings tool, and is reviewing it part of the acceptance criteria?
7. What is the deployment and rollback procedure for Production, and is there a change freeze or approval gate that affects the testing timeline?
8. Are there any downstream consumers of the markup data (e.g., finance systems, invoicing, BI dashboards) beyond the reporting/analytics tool and the third-party reporting platform that need to be included in integration testing?
Effort estimate: 28–42 test cases
Effort notes: Lower bound assumes retroactivity question is resolved before testing begins, the third-party reporting platform change is confirmed in scope, and environment parity is high. Upper bound accounts for testing both retroactive and prospective scenarios if ambiguous, full reconciliation testing across both brands in all three environments, and additional exploratory depth around boundary dates and audit trails. A small QA team of 2-3 should plan for 3-5 business days depending on data availability and environment access.</x:v>
      </x:c>
      <x:c r="E141" s="21" t="str">
        <x:v>Scorable</x:v>
      </x:c>
      <x:c r="F141" s="28" t="n">
        <x:v>5</x:v>
      </x:c>
      <x:c r="G141" s="28" t="n">
        <x:v>5</x:v>
      </x:c>
      <x:c r="H141" s="28" t="n">
        <x:v>5</x:v>
      </x:c>
      <x:c r="I141" s="28" t="n">
        <x:v>5</x:v>
      </x:c>
      <x:c r="J141" s="28" t="n">
        <x:v>5</x:v>
      </x:c>
      <x:c r="K141" s="28" t="n">
        <x:f>IF(E141&lt;&gt;"Scorable","",IF(COUNT(F141:J141)=5,SUM(F141:J141),""))</x:f>
        <x:v>25</x:v>
      </x:c>
      <x:c r="L141"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141" s="21" t="str">
        <x:f>IF(E141&lt;&gt;"Scorable","Not scorable",IF(COUNT(F141:J141)&lt;&gt;5,"Missing scores",IF(AND(COUNTIFS(F141:J141,1)+COUNTIFS(F141:J141,2)+COUNTIFS(F141:J141,5)&gt;0,L141=""),"Missing rationale","Complete")))</x:f>
        <x:v>Complete</x:v>
      </x:c>
    </x:row>
    <x:row r="142" ht="180" customHeight="1">
      <x:c r="A142" s="21" t="str">
        <x:v>RATE-788DBCC1F2FC</x:v>
      </x:c>
      <x:c r="B142" s="21" t="str">
        <x:v>SPEC-19</x:v>
      </x:c>
      <x:c r="C142"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42" s="21" t="str">
        <x:v>Coverage depth: HIGH
Depth justification: Broad system regression potential due to DNS provider change affecting all network-dependent functions
Functional tests:
1. Verify payment device connectivity using the new secondary DNS provider
2. Test Wi-Fi network connectivity and stability with the updated DNS configuration
3. Validate remote management tool functions, including device monitoring and updates
4. Confirm kitchen display system order routing and processing with the new DNS setup
5. Test digital menu board and price change functionality with the updated DNS provider
6. Verify online ordering platform functionality, including order placement and payment processing
7. Test gift card and loyalty processing in offline mode with the new DNS configuration
8. Validate database reload and refresh functionality with the updated DNS setup
Smoke tests:
1. Quick check of all network-dependent system functions to ensure no immediate errors or failures
2. Verify that all integrated systems, including payment processing and online ordering, are reachable and responsive
3. Test a subset of critical user journeys, such as placing an order or processing a payment, to ensure overall system stability
Regression tests:
1. Re-test all previously identified critical paths and user journeys in payment processing, online ordering, and delivery integrations
2. Validate that employee creation workflows, sales performance notification tools, and third-party order alert integrations function as expected
3. Test reporting and analytics functionality to ensure data accuracy and completeness
4. Verify that loyalty and gift card processing functions correctly in both online and offline modes
Integration tests:
1. End-to-end testing of payment processing, including payment device connectivity and transaction processing
2. Validate integration with delivery platforms, including order placement and status updates
3. Test integration with online ordering platforms, including order placement and payment processing
4. Verify integration with third-party services, including order alert integrations and sales performance notification tools
Exploratory tests:
1. Test system behavior during DNS resolution failures or timeouts
2. Explore the impact of DNS cache expiration or poisoning on system functionality
3. Investigate potential issues with DNS-based security features, such as DNSSEC or SPF
Clarification flags:
1. Specific details on the rollout plan and timeline for the DNS provider change
2. Information on any potential changes to DNS resolver settings or configurations
3. Confirmation on whether any additional security measures or monitoring will be implemented in conjunction with the DNS provider change
Effort estimate: 50–100 test cases
Effort notes: Estimate based on the need for thorough regression testing across all major integrated areas</x:v>
      </x:c>
      <x:c r="E142" s="21" t="str">
        <x:v>Scorable</x:v>
      </x:c>
      <x:c r="F142" s="28" t="n">
        <x:v>2</x:v>
      </x:c>
      <x:c r="G142" s="28" t="n">
        <x:v>3</x:v>
      </x:c>
      <x:c r="H142" s="28" t="n">
        <x:v>4</x:v>
      </x:c>
      <x:c r="I142" s="28" t="n">
        <x:v>2</x:v>
      </x:c>
      <x:c r="J142" s="28" t="n">
        <x:v>2</x:v>
      </x:c>
      <x:c r="K142" s="28" t="n">
        <x:f>IF(E142&lt;&gt;"Scorable","",IF(COUNT(F142:J142)=5,SUM(F142:J142),""))</x:f>
        <x:v>13</x:v>
      </x:c>
      <x:c r="L142" s="24" t="str">
        <x:v>Completeness 2: a critical or multiple important consensus expectations remain weak or missing; Integration 2: a critical or multiple important consensus expectations remain weak or missing; Clarification 2: a critical or multiple important consensus expectations remain weak or missing; Frozen implicit consensus elements were treated as essential where applicable.</x:v>
      </x:c>
      <x:c r="M142" s="21" t="str">
        <x:f>IF(E142&lt;&gt;"Scorable","Not scorable",IF(COUNT(F142:J142)&lt;&gt;5,"Missing scores",IF(AND(COUNTIFS(F142:J142,1)+COUNTIFS(F142:J142,2)+COUNTIFS(F142:J142,5)&gt;0,L142=""),"Missing rationale","Complete")))</x:f>
        <x:v>Complete</x:v>
      </x:c>
    </x:row>
    <x:row r="143" ht="180" customHeight="1">
      <x:c r="A143" s="21" t="str">
        <x:v>RATE-16C60FFFD218</x:v>
      </x:c>
      <x:c r="B143" s="21" t="str">
        <x:v>SPEC-10</x:v>
      </x:c>
      <x:c r="C143"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43" s="21" t="str">
        <x:v>Coverage depth: MEDIUM
Depth justification: The change is critical for maintaining secure integration with the loyalty platform, but the scope is limited to one brand and specific devices. Reversibility is moderate as certificates can be re-imported if issues arise.
Functional tests:
1. Verify that the new SSL certificates are correctly imported on POS terminals.
2. Verify that the new SSL certificates are correctly imported on tablets.
3. Validate that the POS platform references the new SSL certificates based on content management page settings.
4. Confirm that the loyalty platform integration functions correctly with the new SSL certificates in the UAT environment.
Smoke tests:
1. Perform a basic transaction on POS terminals to ensure loyalty platform integration works.
2. Perform a basic transaction on tablets to ensure loyalty platform integration works.
3. Verify that the content management system displays no errors related to SSL configuration.
Regression tests:
1. Test existing POS terminal workflows unrelated to loyalty platform integration to ensure no regressions.
2. Test existing tablet workflows unrelated to loyalty platform integration to ensure no regressions.
3. Verify that other integrations using SSL certificates are unaffected by the change.
Integration tests:
1. Validate end-to-end data flow between POS terminals and the loyalty platform using the new SSL certificates.
2. Validate end-to-end data flow between tablets and the loyalty platform using the new SSL certificates.
3. Confirm that the external loyalty platform vendor has successfully installed the new SSL certificates on their servers.
Exploratory tests:
1. Test behavior when the SSL certificate import process fails on a POS terminal.
2. Test behavior when the SSL certificate import process fails on a tablet.
3. Simulate a scenario where the content management system references an expired SSL certificate.
4. Test the system's behavior when the loyalty platform server is unreachable during integration testing.
5. Verify system behavior during certificate expiration scenarios in the UAT environment.
Clarification flags:
1. Confirmation of the exact date when the external loyalty platform vendor will install the new SSL certificates.
2. Details on how to verify the successful installation of SSL certificates on the loyalty platform vendor's servers.
3. Clarification on whether the new environment zone in UAT mirrors production exactly, including network configurations.
Effort estimate: 10–20 test cases
Effort notes: Effort is focused on validating certificate import, integration functionality, and ensuring no regressions in adjacent workflows.</x:v>
      </x:c>
      <x:c r="E143" s="21" t="str">
        <x:v>Scorable</x:v>
      </x:c>
      <x:c r="F143" s="28" t="n">
        <x:v>3</x:v>
      </x:c>
      <x:c r="G143" s="28" t="n">
        <x:v>3</x:v>
      </x:c>
      <x:c r="H143" s="28" t="n">
        <x:v>2</x:v>
      </x:c>
      <x:c r="I143" s="28" t="n">
        <x:v>2</x:v>
      </x:c>
      <x:c r="J143" s="28" t="n">
        <x:v>2</x:v>
      </x:c>
      <x:c r="K143" s="28" t="n">
        <x:f>IF(E143&lt;&gt;"Scorable","",IF(COUNT(F143:J143)=5,SUM(F143:J143),""))</x:f>
        <x:v>12</x:v>
      </x:c>
      <x:c r="L143" s="24" t="str">
        <x:v>Risk 2: a critical or multiple important consensus expectations remain weak or missing; Integration 2: a critical or multiple important consensus expectations remain weak or missing; Clarification 2: a critical or multiple important consensus expectations remain weak or missing; Frozen implicit consensus elements were treated as essential where applicable.</x:v>
      </x:c>
      <x:c r="M143" s="21" t="str">
        <x:f>IF(E143&lt;&gt;"Scorable","Not scorable",IF(COUNT(F143:J143)&lt;&gt;5,"Missing scores",IF(AND(COUNTIFS(F143:J143,1)+COUNTIFS(F143:J143,2)+COUNTIFS(F143:J143,5)&gt;0,L143=""),"Missing rationale","Complete")))</x:f>
        <x:v>Complete</x:v>
      </x:c>
    </x:row>
    <x:row r="144" ht="180" customHeight="1">
      <x:c r="A144" s="21" t="str">
        <x:v>RATE-2794271C9AE7</x:v>
      </x:c>
      <x:c r="B144" s="21" t="str">
        <x:v>SPEC-06</x:v>
      </x:c>
      <x:c r="C144"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44" s="21" t="str">
        <x:v>Terminal invalid JSON. This observation is retained as a structural failure and receives no rubric score.</x:v>
      </x:c>
      <x:c r="E144" s="21" t="str">
        <x:v>Not scorable — terminal invalid JSON</x:v>
      </x:c>
      <x:c r="F144" s="29"/>
      <x:c r="G144" s="29"/>
      <x:c r="H144" s="29"/>
      <x:c r="I144" s="29"/>
      <x:c r="J144" s="29"/>
      <x:c r="K144" s="29" t="str">
        <x:f>IF(E144&lt;&gt;"Scorable","",IF(COUNT(F144:J144)=5,SUM(F144:J144),""))</x:f>
      </x:c>
      <x:c r="L144" s="26"/>
      <x:c r="M144" s="21" t="str">
        <x:f>IF(E144&lt;&gt;"Scorable","Not scorable",IF(COUNT(F144:J144)&lt;&gt;5,"Missing scores",IF(AND(COUNTIFS(F144:J144,1)+COUNTIFS(F144:J144,2)+COUNTIFS(F144:J144,5)&gt;0,L144=""),"Missing rationale","Complete")))</x:f>
        <x:v>Not scorable</x:v>
      </x:c>
    </x:row>
    <x:row r="145" ht="180" customHeight="1">
      <x:c r="A145" s="21" t="str">
        <x:v>RATE-277C65023E3E</x:v>
      </x:c>
      <x:c r="B145" s="21" t="str">
        <x:v>SPEC-18</x:v>
      </x:c>
      <x:c r="C145"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145" s="21" t="str">
        <x:v>Terminal invalid JSON. This observation is retained as a structural failure and receives no rubric score.</x:v>
      </x:c>
      <x:c r="E145" s="21" t="str">
        <x:v>Not scorable — terminal invalid JSON</x:v>
      </x:c>
      <x:c r="F145" s="29"/>
      <x:c r="G145" s="29"/>
      <x:c r="H145" s="29"/>
      <x:c r="I145" s="29"/>
      <x:c r="J145" s="29"/>
      <x:c r="K145" s="29" t="str">
        <x:f>IF(E145&lt;&gt;"Scorable","",IF(COUNT(F145:J145)=5,SUM(F145:J145),""))</x:f>
      </x:c>
      <x:c r="L145" s="26"/>
      <x:c r="M145" s="21" t="str">
        <x:f>IF(E145&lt;&gt;"Scorable","Not scorable",IF(COUNT(F145:J145)&lt;&gt;5,"Missing scores",IF(AND(COUNTIFS(F145:J145,1)+COUNTIFS(F145:J145,2)+COUNTIFS(F145:J145,5)&gt;0,L145=""),"Missing rationale","Complete")))</x:f>
        <x:v>Not scorable</x:v>
      </x:c>
    </x:row>
    <x:row r="146" ht="180" customHeight="1">
      <x:c r="A146" s="21" t="str">
        <x:v>RATE-1AD251A27649</x:v>
      </x:c>
      <x:c r="B146" s="21" t="str">
        <x:v>SPEC-02</x:v>
      </x:c>
      <x:c r="C146"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46" s="21" t="str">
        <x:v>Coverage depth: MEDIUM
Depth justification: Although this is a vendor-delivered patch fix (typically LOW), the change targets payment processing — a high-risk, financially sensitive integration. The requirement to test across 6 device/POS version combinations materially increases surface area and effort. MEDIUM depth is appropriate: focused on the specific failure mode and its direct neighbours, with targeted regression across payment flows, but not a full regression suite.
Functional tests:
1. Unplug network cable from payment terminal mid-transaction (after card tap/insert, before authorisation response) and verify transaction fails gracefully with a user-facing communication error message rather than hanging or crashing
2. Reconnect network cable immediately after a mid-transaction disconnection and initiate a new transaction — verify the terminal successfully re-establishes connection and the new transaction completes without manual intervention or device restart
3. Verify that a quick chip transaction completes end-to-end (card presented, authorisation received, receipt printed) under normal network conditions after firmware update on each of the 6 device/POS combinations
4. Unplug and reconnect network cable multiple times in succession (3–5 cycles) and verify the terminal reliably re-establishes connection and processes a transaction successfully each time
5. Simulate a mid-transaction disconnection during the authorisation phase specifically (quick chip match window) and verify the transaction is correctly voided or rolled back with no partial charge recorded
6. Verify that after a failed mid-transaction disconnection event, the terminal display resets to a ready/idle state and does not remain in a locked or error state
7. Confirm that the reconnection recovery occurs without requiring a cashier to manually restart the terminal or POS application
Smoke tests:
1. On each of the 6 device/POS version combinations, confirm the firmware version reported by the terminal matches the expected new firmware version post-update
2. Process a standard card-present quick chip transaction (credit and debit) on each of the 6 combinations and verify successful authorisation and receipt
3. Confirm the POS application successfully communicates with the terminal at startup (device pairing/handshake) on each combination after firmware update
4. Verify the terminal powers on cleanly and reaches a ready state after firmware update with no error codes displayed
Regression tests:
1. Process a contactless (NFC/tap) transaction on each terminal model and verify end-to-end completion is unaffected by the firmware change
2. Process a magnetic stripe swipe transaction and verify successful authorisation on each terminal model
3. Process a chip-and-PIN (EMV contact) transaction and verify PIN entry, authorisation, and receipt are unaffected
4. Perform a transaction void/refund on a recently completed quick chip transaction and verify the reversal posts correctly
5. Verify split-tender transactions (e.g., partial card payment with cash balance) still process correctly on each POS version
6. Confirm that end-of-day settlement/batch close completes successfully and totals reconcile after transactions processed on updated firmware
7. Verify that a declined card transaction is handled correctly — terminal returns to ready state and a new transaction can be initiated immediately
8. Confirm timeout behaviour is unchanged: if a customer does not present a card within the expected window, the terminal times out and returns control to the POS
9. Verify that receipt printing (customer and merchant copies) is unaffected on each terminal model
10. Confirm that manual card entry (keyed transactions, if supported) still functions correctly after firmware update
Integration tests:
1. Verify that authorisation request and response messages between the POS and payment terminal are correctly formed and parsed after firmware update, with no field truncation or protocol mismatch on each of the 6 combinations
2. Confirm that transaction records written to the POS back-end or reporting database after a reconnection-recovery scenario contain accurate amounts, card type, and status with no duplicate or ghost transactions
3. Verify that a mid-transaction disconnection followed by reconnection does not result in a duplicate authorisation charge being sent to the payment processor
4. Confirm that the payment gateway/processor receives and acknowledges settlement batches correctly after transactions performed on updated firmware
5. Verify that any transaction audit log or journal on the POS side correctly records the failed mid-transaction event and the subsequent successful transaction as separate discrete entries
6. If the POS integrates with a back-office or ERP system, confirm that transaction data flows through correctly and no records are orphaned following a disconnection-recovery event
Exploratory tests:
1. Unplug the network cable during the reconnection recovery window itself (i.e., disconnect a second time while the terminal is attempting to re-establish connection) and observe whether the terminal handles the compounded failure gracefully
2. Introduce a delayed cable reconnection (e.g., 30 seconds, 2 minutes, 5 minutes after disconnection) and verify the terminal still recovers without requiring a restart, probing for any timeout thresholds in the reconnection logic
3. Attempt a transaction on a different terminal model or POS version combination than the one that experienced the disconnection to determine whether the error state is isolated to the affected device
4. Observe terminal behaviour when the network cable is unplugged and reconnected rapidly (within 1–2 seconds) to test debounce or reconnection throttle logic in the firmware
5. Check whether the firmware update itself can be applied while the terminal is in an error/disconnected state, and whether the update process is resilient to interruption
6. Probe whether a cashier-facing error message during the disconnection event inadvertently exposes internal error codes, IP addresses, or diagnostic information that should not be customer-visible
7. Test reconnection behaviour when the terminal is connected via a network switch that is power-cycled, rather than the cable being physically unplugged, to verify the fix is not limited to a specific disconnection mechanism
Clarification flags:
1. Is the firmware update applied identically across all three terminal models (A, B, C), or is there a model-specific firmware variant for each? This affects whether failures on one model can be assumed to apply to others.
2. What is the expected reconnection behaviour by design — should the terminal auto-recover silently, or should it prompt the cashier to retry? The acceptance criteria for the fix are not defined in the spec.
3. Is there a defined maximum reconnection time SLA (e.g., terminal must recover within N seconds of cable reconnection)? Without this, pass/fail criteria for reconnection speed cannot be established.
4. Does the quick chip match error affect all card types (credit, debit, contactless) or only specific entry methods? This determines whether regression testing of non-chip flows is strictly necessary.
5. What is the rollback plan if the firmware introduces a regression? Knowing whether a previous firmware version can be re-flashed affects risk tolerance and the depth of regression testing required.
6. Are there any known differences in network configuration between POS v18 and v19 environments (e.g., different switch hardware, VLAN, or IP assignment method) that could interact with the reconnection fix?
7. Has the vendor provided any test cases, test vectors, or a test report from their own validation of this firmware? If so, these should be reviewed to avoid duplicating vendor-side coverage and to identify gaps.
8. Is the payment processor/gateway involved in certification or re-certification of this firmware version? If processor re-certification is required, integration testing scope may need to be expanded significantly.
9. What constitutes a 'mid-transaction' disconnection for test purposes — is there a specific timing window (e.g., after card data is read but before authorisation response) that must be targeted, or should disconnection be tested at multiple points in the transaction flow?
Effort estimate: 38–55 test cases
Effort notes: Base test cases (approximately 28–35) must be executed across all 6 device/POS combinations for functional, smoke, and key integration scenarios, multiplying total effort significantly. Regression and exploratory tests can be executed on a representative subset (e.g., one combination per POS version) unless combination-specific differences are identified. Estimate assumes a small team of 2 testers with access to physical hardware; hardware setup and firmware flashing time should be budgeted separately and is not reflected in case counts.</x:v>
      </x:c>
      <x:c r="E146" s="21" t="str">
        <x:v>Scorable</x:v>
      </x:c>
      <x:c r="F146" s="28" t="n">
        <x:v>5</x:v>
      </x:c>
      <x:c r="G146" s="28" t="n">
        <x:v>5</x:v>
      </x:c>
      <x:c r="H146" s="28" t="n">
        <x:v>3</x:v>
      </x:c>
      <x:c r="I146" s="28" t="n">
        <x:v>4</x:v>
      </x:c>
      <x:c r="J146" s="28" t="n">
        <x:v>5</x:v>
      </x:c>
      <x:c r="K146" s="28" t="n">
        <x:f>IF(E146&lt;&gt;"Scorable","",IF(COUNT(F146:J146)=5,SUM(F146:J146),""))</x:f>
        <x:v>22</x:v>
      </x:c>
      <x:c r="L146" s="24" t="str">
        <x:v>Completeness 5: essentially all material consensus expectations are covered at this dimension; Specificity 5: essentially all material consensus expectations are covered at this dimension; Clarification 5: material consensus ambiguities are directly and actionably addressed; Frozen implicit consensus elements were treated as essential where applicable.</x:v>
      </x:c>
      <x:c r="M146" s="21" t="str">
        <x:f>IF(E146&lt;&gt;"Scorable","Not scorable",IF(COUNT(F146:J146)&lt;&gt;5,"Missing scores",IF(AND(COUNTIFS(F146:J146,1)+COUNTIFS(F146:J146,2)+COUNTIFS(F146:J146,5)&gt;0,L146=""),"Missing rationale","Complete")))</x:f>
        <x:v>Complete</x:v>
      </x:c>
    </x:row>
    <x:row r="147" ht="180" customHeight="1">
      <x:c r="A147" s="21" t="str">
        <x:v>RATE-2F790CF5AAD6</x:v>
      </x:c>
      <x:c r="B147" s="21" t="str">
        <x:v>SPEC-14</x:v>
      </x:c>
      <x:c r="C147"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47" s="21" t="str">
        <x:v>Coverage depth: HIGH
Depth justification: Version upgrade of a critical third-party application with multi-device and multi-OS compatibility requirements
Functional tests:
1. Validate login and authentication on Gen 10 and Gen 11 tablets with iOS 18.5
2. Test menu navigation, item selection, and ordering process on both tablet generations with iOS 18.5
3. Verify payment processing and order submission on iOS 18.5 devices
4. Confirm compatibility of the new app version with existing peripherals (printers, scanners) on iOS 18.5
5. Validate login and authentication on Gen 10 and Gen 11 tablets with iOS 26.1
6. Test menu navigation, item selection, and ordering process on both tablet generations with iOS 26.1
7. Verify payment processing and order submission on iOS 26.1 devices
Smoke tests:
1. Quick sanity check of app launch, basic navigation, and critical functionality on both iOS versions and tablet generations
2. Verify that the app does not crash or exhibit major issues during initial use on both iOS versions
Regression tests:
1. Re-test known issues from previous versions to ensure they are not re-introduced in the new version on both iOS 18.5 and iOS 26.1
2. Validate that existing integrations (e.g., with inventory management, customer loyalty programs) still function as expected on both iOS versions
Integration tests:
1. End-to-end testing of order fulfillment workflow from digital ordering app to kitchen display systems on both iOS versions
2. Validate integration with payment gateways and processing systems on both iOS versions
Exploratory tests:
1. Edge-case testing for ordering with special requests or modifications on both iOS versions
2. Test app behavior with low battery, low storage, or other resource constraints on both iOS versions
3. Explore app functionality during network connectivity issues or when switching between Wi-Fi and cellular data on both iOS versions
Clarification flags:
1. Vendor release notes for the new version are pending and could significantly affect testing scope and approach
2. Confirmation of specific regression issues from previous versions that need re-testing
3. Details on any new features or behavior changes introduced in the new version that require targeted testing
4. Information on whether any existing integrations or workflows have been modified or updated in the new version
Effort estimate: 50–100 test cases
Effort notes: Effort estimate reflects the need for thorough testing across different devices, OS versions, and app functionalities, considering the high impact of this application on store operations</x:v>
      </x:c>
      <x:c r="E147" s="21" t="str">
        <x:v>Scorable</x:v>
      </x:c>
      <x:c r="F147" s="28" t="n">
        <x:v>2</x:v>
      </x:c>
      <x:c r="G147" s="28" t="n">
        <x:v>3</x:v>
      </x:c>
      <x:c r="H147" s="28" t="n">
        <x:v>4</x:v>
      </x:c>
      <x:c r="I147" s="28" t="n">
        <x:v>3</x:v>
      </x:c>
      <x:c r="J147" s="28" t="n">
        <x:v>4</x:v>
      </x:c>
      <x:c r="K147" s="28" t="n">
        <x:f>IF(E147&lt;&gt;"Scorable","",IF(COUNT(F147:J147)=5,SUM(F147:J147),""))</x:f>
        <x:v>16</x:v>
      </x:c>
      <x:c r="L147" s="24" t="str">
        <x:v>Completeness 2: a critical or multiple important consensus expectations remain weak or missing; Frozen implicit consensus elements were treated as essential where applicable.</x:v>
      </x:c>
      <x:c r="M147" s="21" t="str">
        <x:f>IF(E147&lt;&gt;"Scorable","Not scorable",IF(COUNT(F147:J147)&lt;&gt;5,"Missing scores",IF(AND(COUNTIFS(F147:J147,1)+COUNTIFS(F147:J147,2)+COUNTIFS(F147:J147,5)&gt;0,L147=""),"Missing rationale","Complete")))</x:f>
        <x:v>Complete</x:v>
      </x:c>
    </x:row>
    <x:row r="148" ht="180" customHeight="1">
      <x:c r="A148" s="21" t="str">
        <x:v>RATE-1101449529AE</x:v>
      </x:c>
      <x:c r="B148" s="21" t="str">
        <x:v>SPEC-14</x:v>
      </x:c>
      <x:c r="C148"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48" s="21" t="str">
        <x:v>Coverage depth: HIGH
Depth justification: This is a third-party version upgrade affecting a live production system across two hardware generations and two OS versions. iOS 18.5 is the active production configuration requiring thorough validation before any rollout. iOS 26.1 is a future deployment candidate requiring full compatibility assessment. The absence of vendor release notes increases risk and necessitates broader exploratory and regression coverage to detect undocumented changes.
Functional tests:
1. Verify app launches successfully on Gen 10 tablet running iOS 18.5
2. Verify app launches successfully on Gen 11 tablet running iOS 18.5
3. Verify app launches successfully on Gen 10 tablet running iOS 26.1
4. Verify app launches successfully on Gen 11 tablet running iOS 26.1
5. Verify full menu browsing and item selection on all four device/OS combinations
6. Verify order creation, modification, and cancellation workflows on iOS 18.5 (Gen 10 and Gen 11)
7. Verify order creation, modification, and cancellation workflows on iOS 26.1 (Gen 10 and Gen 11)
8. Verify payment processing flow completes successfully on all device/OS combinations
9. Verify order submission and confirmation screen displays correctly on all device/OS combinations
10. Verify item customization options (modifiers, add-ons, special instructions) function correctly
11. Verify search and filtering functionality within the menu
12. Verify user session management (login, logout, session timeout) on all device/OS combinations
13. Verify app correctly handles empty cart, single-item, and multi-item order scenarios
14. Verify any new UI elements or screens introduced in the new app version render correctly
15. Verify navigation flows (back, home, breadcrumbs) behave consistently across all configurations
16. Verify error messages and validation prompts display correctly for invalid inputs
17. Verify app behavior when switching between foreground and background states
18. Verify receipt or order summary output is accurate and complete
Smoke tests:
1. Confirm app installs and launches without crashing on iOS 18.5 Gen 10 (primary production config)
2. Confirm app installs and launches without crashing on iOS 18.5 Gen 11
3. Confirm app installs and launches without crashing on iOS 26.1 Gen 10
4. Confirm app installs and launches without crashing on iOS 26.1 Gen 11
5. Confirm a basic end-to-end order can be placed and submitted on iOS 18.5 Gen 10
6. Confirm payment processing initiates without error on iOS 18.5 Gen 10
7. Confirm main menu loads and displays items correctly on all four device/OS combinations
8. Confirm app version number reflects the new release on all devices
Regression tests:
1. Re-verify all previously passing order placement workflows on iOS 18.5 Gen 10 and Gen 11
2. Re-verify payment processing flows that passed in the prior app version on iOS 18.5
3. Re-verify menu item display, pricing, and modifier behavior against prior version baseline
4. Re-verify session handling and authentication flows match prior version behavior on iOS 18.5
5. Re-verify order cancellation and refund initiation flows on iOS 18.5 Gen 10 and Gen 11
6. Re-verify app performance benchmarks (load time, screen transition speed) against prior version
7. Re-verify accessibility features (font scaling, touch target sizes) on iOS 18.5 configurations
8. Re-verify network timeout and retry behavior matches expected prior version behavior
9. Re-verify any known defects from the prior version to confirm they remain resolved or are not reintroduced
Integration tests:
1. Verify app communicates correctly with the backend ordering/POS system on all device/OS combinations
2. Verify real-time menu data (pricing, availability, item status) is accurately fetched and displayed
3. Verify order data is correctly transmitted to and received by the kitchen or fulfillment system
4. Verify payment gateway integration processes transactions end-to-end on iOS 18.5 and iOS 26.1
5. Verify loyalty or rewards system integration (if applicable) functions correctly on new app version
6. Verify push notification or order status update delivery on all device/OS combinations
7. Verify app behavior when backend services are slow or temporarily unavailable (graceful degradation)
8. Verify authentication/SSO integration with any identity provider functions on all configurations
9. Verify data synchronization between app and backend after connectivity interruptions
Exploratory tests:
1. Explore any UI or UX changes introduced in the new version for unexpected behavior or regressions not covered by scripted tests
2. Explore edge cases in order customization (maximum modifiers, special characters in instructions) on iOS 26.1
3. Explore app behavior under low memory conditions on Gen 10 hardware (older generation constraints)
4. Explore app behavior during rapid or repeated user interactions (fast tapping, quick navigation)
5. Explore app behavior when switching between Wi-Fi and cellular or when network drops mid-transaction
6. Explore any differences in rendering or layout between Gen 10 and Gen 11 screen resolutions or aspect ratios
7. Explore iOS 26.1-specific system behaviors (new OS gestures, permission dialogs, background app policies) that may affect the app
8. Explore app behavior after extended use sessions to identify memory leaks or performance degradation
9. Explore any vendor-noted behavior changes (once release notes are received) for unintended side effects
Clarification flags:
1. Vendor release notes are pending — specific behavior changes, bug fixes, and new features in the new version are unknown, which limits targeted regression scoping and risk assessment
2. No prior version baseline test results or test case repository referenced — it is unclear what existing regression suite exists to run against the new version
3. Acceptance criteria for iOS 26.1 validation are not defined — unclear what pass/fail threshold determines readiness for future deployment
4. Deployment timeline and rollout plan are not specified — urgency and phasing of iOS 18.5 vs iOS 26.1 validation are unclear
5. It is unspecified whether Gen 10 and Gen 11 tablets have identical screen dimensions and resolutions — layout and rendering test cases may need to be adjusted
6. Payment processing environment is not specified — unclear whether testing uses a sandbox/staging payment gateway or production credentials, which affects test design
7. Network environment for testing is not defined — Wi-Fi only, cellular, or both should be clarified for connectivity-related test cases
8. Scope of backend or POS system changes concurrent with this upgrade is unknown — any backend changes could affect integration test results
9. Accessibility and compliance requirements (ADA, WCAG) are not mentioned — unclear if these must be validated as part of this effort
10. It is unclear whether any store-specific configurations or menu variations need to be tested across different store profiles
Effort estimate: 80–140 test cases
Effort notes: Estimate accounts for four device/OS matrix combinations (Gen 10 x iOS 18.5, Gen 11 x iOS 18.5, Gen 10 x iOS 26.1, Gen 11 x iOS 26.1). iOS 18.5 configurations should receive full scripted test execution as first priority. iOS 26.1 configurations require equivalent coverage given future deployment intent. Upper bound increases significantly if vendor release notes reveal substantial feature changes or if defects discovered during smoke testing require expanded investigation. Effort should be re-scoped once release notes are received.</x:v>
      </x:c>
      <x:c r="E148" s="21" t="str">
        <x:v>Scorable</x:v>
      </x:c>
      <x:c r="F148" s="28" t="n">
        <x:v>3</x:v>
      </x:c>
      <x:c r="G148" s="28" t="n">
        <x:v>4</x:v>
      </x:c>
      <x:c r="H148" s="28" t="n">
        <x:v>5</x:v>
      </x:c>
      <x:c r="I148" s="28" t="n">
        <x:v>3</x:v>
      </x:c>
      <x:c r="J148" s="28" t="n">
        <x:v>5</x:v>
      </x:c>
      <x:c r="K148" s="28" t="n">
        <x:f>IF(E148&lt;&gt;"Scorable","",IF(COUNT(F148:J148)=5,SUM(F148:J148),""))</x:f>
        <x:v>20</x:v>
      </x:c>
      <x:c r="L148" s="24" t="str">
        <x:v>Risk 5: depth matches consensus and the justification is materially risk-specific; Clarification 5: material consensus ambiguities are directly and actionably addressed; Frozen implicit consensus elements were treated as essential where applicable.</x:v>
      </x:c>
      <x:c r="M148" s="21" t="str">
        <x:f>IF(E148&lt;&gt;"Scorable","Not scorable",IF(COUNT(F148:J148)&lt;&gt;5,"Missing scores",IF(AND(COUNTIFS(F148:J148,1)+COUNTIFS(F148:J148,2)+COUNTIFS(F148:J148,5)&gt;0,L148=""),"Missing rationale","Complete")))</x:f>
        <x:v>Complete</x:v>
      </x:c>
    </x:row>
    <x:row r="149" ht="180" customHeight="1">
      <x:c r="A149" s="21" t="str">
        <x:v>RATE-5AE678B6406E</x:v>
      </x:c>
      <x:c r="B149" s="21" t="str">
        <x:v>SPEC-08</x:v>
      </x:c>
      <x:c r="C149"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49" s="21" t="str">
        <x:v>Coverage depth: HIGH
Depth justification: The feature addresses a critical fraud prevention scenario and involves multiple roles and brands, requiring thorough validation to ensure no legitimate operations are disrupted.
Functional tests:
1. Verify that roles listed for restriction in Brand A (Shift Lead standard, Shift Lead plus, Assistant Manager, Manager, Multi-Unit, Field Engineer) are unable to void an empty check.
2. Verify that roles listed for restriction in Brand B (Franchisee, Manager, Shift Leader) are unable to void an empty check.
3. Confirm that roles with no change (Brand A — Crew, Crew Plus; Brand B — Crew Member, Senior Crew Member) continue to require authorization for voiding an empty check.
4. Ensure that legitimate operations such as voiding individual items, transaction returns, and opening closed checks are not disrupted for any roles.
Smoke tests:
1. Verify that voiding an empty check is blocked for a restricted role in Brand A.
2. Verify that voiding an empty check is blocked for a restricted role in Brand B.
3. Ensure that a non-restricted role can still void an empty check with proper authorization.
Regression tests:
1. Validate that existing role-based access control configurations for other unrelated actions remain unaffected.
2. Verify that the system option bit for blocking void on empty check is correctly applied across all roles.
3. Confirm that transaction return processes function as expected for all roles.
Integration tests:
1. Test the interaction between the POS system and the role configuration database to ensure the restriction is enforced correctly.
2. Verify that the restriction does not interfere with reporting systems or audit logs.
3. Ensure that the fraud prevention restriction does not conflict with other access control settings.
Exploratory tests:
1. Attempt to bypass the restriction using alternative methods, such as modifying the check contents before voiding.
2. Test edge cases, such as voiding a check with a single item or a partially completed transaction.
3. Explore the behavior of the system when switching roles mid-session.
Clarification flags:
1. Are there any specific audit log requirements for tracking void attempts on empty checks?
2. Should testing include scenarios where roles are dynamically updated during a session?
3. Are there any specific configurations or exceptions for franchisee roles in Brand B?
Effort estimate: 25–40 test cases
Effort notes: Effort includes testing across multiple roles, brands, and scenarios to ensure comprehensive coverage and fraud prevention.</x:v>
      </x:c>
      <x:c r="E149" s="21" t="str">
        <x:v>Scorable</x:v>
      </x:c>
      <x:c r="F149" s="28" t="n">
        <x:v>4</x:v>
      </x:c>
      <x:c r="G149" s="28" t="n">
        <x:v>4</x:v>
      </x:c>
      <x:c r="H149" s="28" t="n">
        <x:v>5</x:v>
      </x:c>
      <x:c r="I149" s="28" t="n">
        <x:v>3</x:v>
      </x:c>
      <x:c r="J149" s="28" t="n">
        <x:v>2</x:v>
      </x:c>
      <x:c r="K149" s="28" t="n">
        <x:f>IF(E149&lt;&gt;"Scorable","",IF(COUNT(F149:J149)=5,SUM(F149:J149),""))</x:f>
        <x:v>18</x:v>
      </x:c>
      <x:c r="L149" s="24" t="str">
        <x:v>Risk 5: depth matches consensus and the justification is materially risk-specific; Clarification 2: a critical or multiple important consensus expectations remain weak or missing; Frozen implicit consensus elements were treated as essential where applicable.</x:v>
      </x:c>
      <x:c r="M149" s="21" t="str">
        <x:f>IF(E149&lt;&gt;"Scorable","Not scorable",IF(COUNT(F149:J149)&lt;&gt;5,"Missing scores",IF(AND(COUNTIFS(F149:J149,1)+COUNTIFS(F149:J149,2)+COUNTIFS(F149:J149,5)&gt;0,L149=""),"Missing rationale","Complete")))</x:f>
        <x:v>Complete</x:v>
      </x:c>
    </x:row>
    <x:row r="150" ht="180" customHeight="1">
      <x:c r="A150" s="21" t="str">
        <x:v>RATE-34455FC8F094</x:v>
      </x:c>
      <x:c r="B150" s="21" t="str">
        <x:v>SPEC-13</x:v>
      </x:c>
      <x:c r="C150"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50" s="21" t="str">
        <x:v>Coverage depth: HIGH
Depth justification: This change affects POS configuration inheritance and menu page design delivery across a network of retail locations. Incorrect configuration could result in wrong menus being displayed, missing items, or revenue impact. The risk of cross-zone contamination (limited-menu design leaking into full-menu zone or vice versa) requires thorough validation at functional, integration, and regression levels.
Functional tests:
1. Verify the new zone is created and visible within the non-traditional store network and properties hierarchy
2. Verify the new zone is correctly positioned within the hierarchy (parent/child relationships are accurate)
3. Verify that properties assigned to the new zone inherit the standard brand POS configuration
4. Verify that properties assigned to the new zone pull down the correct full-menu page design
5. Verify that the limited-menu bakery page design is NOT applied to properties in the new zone
6. Verify that the beverage-only page design is NOT applied to properties in the new zone
7. Verify that a property reassigned from an existing non-traditional zone to the new zone correctly switches to the full-menu page design
8. Verify that a property reassigned away from the new zone to a non-traditional limited-menu zone correctly reverts to the limited-menu page design
9. Verify that all full-menu items are present and accessible on the POS for a property in the new zone
10. Verify that no menu items are missing or duplicated after zone assignment
11. Verify that zone-level configuration changes propagate correctly to all assigned properties
12. Verify that properties NOT assigned to the new zone are unaffected by its creation
Smoke tests:
1. Confirm the new zone exists and is selectable in the hierarchy management interface
2. Confirm at least one test property can be assigned to the new zone without error
3. Confirm the assigned test property pulls down standard brand POS configuration after zone assignment
4. Confirm the full-menu page design loads on the POS terminal for a property in the new zone
5. Confirm the limited-menu page design does not appear on the POS terminal for a property in the new zone
Regression tests:
1. Verify existing non-traditional zones and their properties are unaffected by the new zone addition
2. Verify existing limited-menu non-traditional properties still receive the bakery/beverage-only page design
3. Verify standard brand (traditional) store zone configurations remain unchanged
4. Verify the hierarchy structure for all other zones has not been altered
5. Verify POS configuration pull-down process functions correctly for zones that existed prior to this change
6. Verify menu and page design assignments for traditional full-menu locations are unaffected
7. Verify that adding the new zone has not introduced duplicate zone names or ID conflicts in the hierarchy
8. Verify that hierarchy reporting and zone listing screens display all pre-existing zones correctly alongside the new zone
Integration tests:
1. Verify end-to-end POS configuration pull-down from the hierarchy server to a terminal assigned to the new zone
2. Verify the full-menu page design is correctly transmitted from the page design system to POS terminals in the new zone
3. Verify that the hierarchy management system correctly communicates the new zone's inheritance rules to downstream POS configuration services
4. Verify that property-to-zone assignment changes are reflected in real time (or within expected sync window) across all integrated systems
5. Verify that the POS terminal correctly renders all full-menu pages received from the new zone configuration
6. Verify that transaction processing functions correctly on a POS terminal operating under the new zone's full-menu configuration
7. Verify that reporting and analytics systems correctly categorize transactions from properties in the new zone
Exploratory tests:
1. Explore behavior when a property is assigned to the new zone but the POS terminal has not yet refreshed its configuration — confirm no mixed or partial menu states occur
2. Explore what happens if a property is simultaneously listed under the new zone and a legacy non-traditional zone (misconfiguration scenario)
3. Explore edge cases where the new zone has no properties assigned — confirm no errors or broken hierarchy views
4. Explore the POS terminal behavior if a configuration pull-down is interrupted mid-sync for a property in the new zone
5. Explore whether any UI elements in the hierarchy management tool incorrectly label or categorize the new zone
6. Explore the behavior of the POS if a full-menu item is ordered that was previously unavailable under the limited-menu design, to confirm pricing and modifiers are correctly configured
7. Explore whether the new zone's configuration correctly handles future menu updates pushed from the standard brand configuration
Clarification flags:
1. How many properties will initially be assigned to the new zone, and will testing cover all of them or a representative subset?
2. Is there a defined sync/pull-down interval for POS configuration updates, and what is the expected propagation time after zone assignment?
3. Are there multiple POS terminal hardware types or software versions in use at non-traditional locations that require separate validation?
4. What is the exact mechanism of inheritance — does the new zone explicitly reference the standard brand configuration, or does it inherit by default from a parent node?
5. Is there an existing automated regression suite for POS hierarchy and zone configuration changes that can be leveraged?
6. Are there any non-traditional locations that carry a partial menu (neither full nor limited) that could be inadvertently affected?
7. What environments (dev, staging, production) are available for testing, and will a production rollout be phased or all-at-once?
8. Who is responsible for validating the page design visually — QA, menu/design team, or store operations?
9. Is there a rollback plan if the new zone configuration causes issues, and should rollback procedures be tested as part of this scope?
Effort estimate: 28–45 test cases
Effort notes: Estimate range accounts for the number of properties assigned to the new zone during testing, the number of POS terminal types in use at non-traditional locations, and whether automated regression coverage already exists for hierarchy and configuration pull-down scenarios. If multiple terminal hardware types are in scope, the upper bound may increase further.</x:v>
      </x:c>
      <x:c r="E150" s="21" t="str">
        <x:v>Scorable</x:v>
      </x:c>
      <x:c r="F150" s="28" t="n">
        <x:v>5</x:v>
      </x:c>
      <x:c r="G150" s="28" t="n">
        <x:v>5</x:v>
      </x:c>
      <x:c r="H150" s="28" t="n">
        <x:v>5</x:v>
      </x:c>
      <x:c r="I150" s="28" t="n">
        <x:v>5</x:v>
      </x:c>
      <x:c r="J150" s="28" t="n">
        <x:v>4</x:v>
      </x:c>
      <x:c r="K150" s="28" t="n">
        <x:f>IF(E150&lt;&gt;"Scorable","",IF(COUNT(F150:J150)=5,SUM(F150:J150),""))</x:f>
        <x:v>24</x:v>
      </x:c>
      <x:c r="L150"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150" s="21" t="str">
        <x:f>IF(E150&lt;&gt;"Scorable","Not scorable",IF(COUNT(F150:J150)&lt;&gt;5,"Missing scores",IF(AND(COUNTIFS(F150:J150,1)+COUNTIFS(F150:J150,2)+COUNTIFS(F150:J150,5)&gt;0,L150=""),"Missing rationale","Complete")))</x:f>
        <x:v>Complete</x:v>
      </x:c>
    </x:row>
    <x:row r="151" ht="180" customHeight="1">
      <x:c r="A151" s="21" t="str">
        <x:v>RATE-D14799987A78</x:v>
      </x:c>
      <x:c r="B151" s="21" t="str">
        <x:v>SPEC-18</x:v>
      </x:c>
      <x:c r="C151"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151" s="21" t="str">
        <x:v>Coverage depth: MEDIUM
Depth justification: The feature is new and has a moderate regression surface, with potential impact on employee clock-in workflow and POS workstation performance
Functional tests:
1. Verify that store owners and managers can successfully schedule notifications through the notification management system
2. Verify that notifications appear on POS workstation screens when a crew member clocks in
3. Verify that notifications display the correct message, including promotional offers, loyalty program reminders, upsell prompts, and store policy changes
4. Verify that notifications can be scheduled for specific dates and times
5. Verify that notifications can be edited or deleted by store owners and managers
Smoke tests:
1. Verify that the POS workstation screen displays a notification when a crew member clocks in
2. Verify that the notification management system allows store owners and managers to schedule a notification
3. Verify that the employee clock-in workflow is not disrupted by the notification feature
Regression tests:
1. Verify that existing employee clock-in workflow functionality remains unchanged
2. Verify that POS workstation performance is not impacted by the notification feature
3. Verify that other POS workstation features, such as checkout and payment processing, function as expected
Integration tests:
1. Verify that the notification management system integrates correctly with the employee clock-in workflow
2. Verify that the notification feature integrates correctly with the POS workstation screen display
3. Verify that notifications are correctly stored and retrieved from the database
Exploratory tests:
1. Test notification scheduling with multiple crew members and varying clock-in times
2. Test notification display with different types of messages (e.g., images, text, links)
3. Test the impact of network connectivity issues on notification display
4. Test the behavior of the notification feature when a crew member clocks in multiple times
Clarification flags:
1. Notification prioritization and conflict resolution (e.g., multiple notifications scheduled for the same time)
2. Notification accessibility and usability for crew members with disabilities
3. Error handling and logging for notification scheduling and display issues
Effort estimate: 20–40 test cases
Effort notes: Assuming a small QA team, the estimated effort is moderate due to the need to test notification scheduling, display, and integration with existing workflows</x:v>
      </x:c>
      <x:c r="E151" s="21" t="str">
        <x:v>Scorable</x:v>
      </x:c>
      <x:c r="F151" s="28" t="n">
        <x:v>5</x:v>
      </x:c>
      <x:c r="G151" s="28" t="n">
        <x:v>5</x:v>
      </x:c>
      <x:c r="H151" s="28" t="n">
        <x:v>3</x:v>
      </x:c>
      <x:c r="I151" s="28" t="n">
        <x:v>5</x:v>
      </x:c>
      <x:c r="J151" s="28" t="n">
        <x:v>1</x:v>
      </x:c>
      <x:c r="K151" s="28" t="n">
        <x:f>IF(E151&lt;&gt;"Scorable","",IF(COUNT(F151:J151)=5,SUM(F151:J151),""))</x:f>
        <x:v>19</x:v>
      </x:c>
      <x:c r="L151"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Clarification 1: the recommendation is fundamentally inadequate for this dimension; Frozen implicit consensus elements were treated as essential where applicable.</x:v>
      </x:c>
      <x:c r="M151" s="21" t="str">
        <x:f>IF(E151&lt;&gt;"Scorable","Not scorable",IF(COUNT(F151:J151)&lt;&gt;5,"Missing scores",IF(AND(COUNTIFS(F151:J151,1)+COUNTIFS(F151:J151,2)+COUNTIFS(F151:J151,5)&gt;0,L151=""),"Missing rationale","Complete")))</x:f>
        <x:v>Complete</x:v>
      </x:c>
    </x:row>
    <x:row r="152" ht="180" customHeight="1">
      <x:c r="A152" s="21" t="str">
        <x:v>RATE-C96E19239384</x:v>
      </x:c>
      <x:c r="B152" s="21" t="str">
        <x:v>SPEC-04</x:v>
      </x:c>
      <x:c r="C152"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52" s="21" t="str">
        <x:v>Terminal invalid JSON. This observation is retained as a structural failure and receives no rubric score.</x:v>
      </x:c>
      <x:c r="E152" s="21" t="str">
        <x:v>Not scorable — terminal invalid JSON</x:v>
      </x:c>
      <x:c r="F152" s="29"/>
      <x:c r="G152" s="29"/>
      <x:c r="H152" s="29"/>
      <x:c r="I152" s="29"/>
      <x:c r="J152" s="29"/>
      <x:c r="K152" s="29" t="str">
        <x:f>IF(E152&lt;&gt;"Scorable","",IF(COUNT(F152:J152)=5,SUM(F152:J152),""))</x:f>
      </x:c>
      <x:c r="L152" s="26"/>
      <x:c r="M152" s="21" t="str">
        <x:f>IF(E152&lt;&gt;"Scorable","Not scorable",IF(COUNT(F152:J152)&lt;&gt;5,"Missing scores",IF(AND(COUNTIFS(F152:J152,1)+COUNTIFS(F152:J152,2)+COUNTIFS(F152:J152,5)&gt;0,L152=""),"Missing rationale","Complete")))</x:f>
        <x:v>Not scorable</x:v>
      </x:c>
    </x:row>
    <x:row r="153" ht="180" customHeight="1">
      <x:c r="A153" s="21" t="str">
        <x:v>RATE-84016BA22002</x:v>
      </x:c>
      <x:c r="B153" s="21" t="str">
        <x:v>SPEC-10</x:v>
      </x:c>
      <x:c r="C153"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53" s="21" t="str">
        <x:v>Coverage depth: LOW
Depth justification: The change is a routine SSL certificate rotation with limited functional impact and low risk of regression.
Functional tests:
1. Verify that the new SSL certificates are correctly imported on POS terminals.
2. Verify that the new SSL certificates are correctly imported on tablets.
3. Validate that the POS platform references the correct SSL certificates based on content management page settings.
4. Confirm that the loyalty platform integration functions correctly using the new SSL certificates in the UAT environment.
Smoke tests:
1. Check that POS terminals can still process loyalty transactions after the certificate update.
2. Check that tablets can still process loyalty transactions after the certificate update.
3. Verify that the loyalty platform integration does not throw SSL-related errors in the UAT environment.
Regression tests:
1. Ensure that non-loyalty-related POS terminal functions (e.g., sales transactions) are not impacted.
2. Ensure that non-loyalty-related tablet functions (e.g., inventory management) are not impacted.
3. Verify that content management configuration changes unrelated to SSL certificates still function as expected.
4. Confirm that the existing loyalty platform integration works correctly in the production environment before deployment.
Integration tests:
1. Perform end-to-end testing of loyalty transactions from POS terminals to the loyalty platform using the new SSL certificates.
2. Perform end-to-end testing of loyalty transactions from tablets to the loyalty platform using the new SSL certificates.
3. Validate that the external loyalty platform vendor has correctly installed the new SSL certificates on their servers by testing connectivity and transaction flows.
Exploratory tests:
1. Test the behavior of POS terminals and tablets if the SSL certificate import process fails.
2. Simulate an expired certificate scenario to ensure proper error handling and logging.
3. Test loyalty transactions during peak usage times to identify any performance degradation related to the certificate update.
4. Probe for any unexpected behavior when switching between the new UAT environment zone and the production environment.
Clarification flags:
1. Confirm the exact process and tools used for importing SSL certificates on POS terminals and tablets.
2. Verify whether the new SSL certificates have been tested by the external loyalty platform vendor on their servers.
3. Clarify if there are any specific content management page settings that need to be tested for referencing the new certificates.
4. Confirm if there are any fallback mechanisms in place if the certificate update fails in production.
Effort estimate: 10–15 test cases
Effort notes: Effort is focused on verifying certificate import, basic functionality, and connectivity. Regression and exploratory testing are limited due to the low-risk nature of the change.</x:v>
      </x:c>
      <x:c r="E153" s="21" t="str">
        <x:v>Scorable</x:v>
      </x:c>
      <x:c r="F153" s="28" t="n">
        <x:v>3</x:v>
      </x:c>
      <x:c r="G153" s="28" t="n">
        <x:v>4</x:v>
      </x:c>
      <x:c r="H153" s="28" t="n">
        <x:v>1</x:v>
      </x:c>
      <x:c r="I153" s="28" t="n">
        <x:v>2</x:v>
      </x:c>
      <x:c r="J153" s="28" t="n">
        <x:v>3</x:v>
      </x:c>
      <x:c r="K153" s="28" t="n">
        <x:f>IF(E153&lt;&gt;"Scorable","",IF(COUNT(F153:J153)=5,SUM(F153:J153),""))</x:f>
        <x:v>13</x:v>
      </x:c>
      <x:c r="L153" s="24" t="str">
        <x:v>Risk 1: the recommendation is fundamentally inadequate for this dimension; Integration 2: a critical or multiple important consensus expectations remain weak or missing; Frozen implicit consensus elements were treated as essential where applicable.</x:v>
      </x:c>
      <x:c r="M153" s="21" t="str">
        <x:f>IF(E153&lt;&gt;"Scorable","Not scorable",IF(COUNT(F153:J153)&lt;&gt;5,"Missing scores",IF(AND(COUNTIFS(F153:J153,1)+COUNTIFS(F153:J153,2)+COUNTIFS(F153:J153,5)&gt;0,L153=""),"Missing rationale","Complete")))</x:f>
        <x:v>Complete</x:v>
      </x:c>
    </x:row>
    <x:row r="154" ht="180" customHeight="1">
      <x:c r="A154" s="21" t="str">
        <x:v>RATE-8F0727E20CD4</x:v>
      </x:c>
      <x:c r="B154" s="21" t="str">
        <x:v>SPEC-19</x:v>
      </x:c>
      <x:c r="C154"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54" s="21" t="str">
        <x:v>Terminal invalid JSON. This observation is retained as a structural failure and receives no rubric score.</x:v>
      </x:c>
      <x:c r="E154" s="21" t="str">
        <x:v>Not scorable — terminal invalid JSON</x:v>
      </x:c>
      <x:c r="F154" s="29"/>
      <x:c r="G154" s="29"/>
      <x:c r="H154" s="29"/>
      <x:c r="I154" s="29"/>
      <x:c r="J154" s="29"/>
      <x:c r="K154" s="29" t="str">
        <x:f>IF(E154&lt;&gt;"Scorable","",IF(COUNT(F154:J154)=5,SUM(F154:J154),""))</x:f>
      </x:c>
      <x:c r="L154" s="26"/>
      <x:c r="M154" s="21" t="str">
        <x:f>IF(E154&lt;&gt;"Scorable","Not scorable",IF(COUNT(F154:J154)&lt;&gt;5,"Missing scores",IF(AND(COUNTIFS(F154:J154,1)+COUNTIFS(F154:J154,2)+COUNTIFS(F154:J154,5)&gt;0,L154=""),"Missing rationale","Complete")))</x:f>
        <x:v>Not scorable</x:v>
      </x:c>
    </x:row>
    <x:row r="155" ht="180" customHeight="1">
      <x:c r="A155" s="21" t="str">
        <x:v>RATE-D61CD2599D02</x:v>
      </x:c>
      <x:c r="B155" s="21" t="str">
        <x:v>SPEC-14</x:v>
      </x:c>
      <x:c r="C155"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55" s="21" t="str">
        <x:v>Terminal invalid JSON. This observation is retained as a structural failure and receives no rubric score.</x:v>
      </x:c>
      <x:c r="E155" s="21" t="str">
        <x:v>Not scorable — terminal invalid JSON</x:v>
      </x:c>
      <x:c r="F155" s="29"/>
      <x:c r="G155" s="29"/>
      <x:c r="H155" s="29"/>
      <x:c r="I155" s="29"/>
      <x:c r="J155" s="29"/>
      <x:c r="K155" s="29" t="str">
        <x:f>IF(E155&lt;&gt;"Scorable","",IF(COUNT(F155:J155)=5,SUM(F155:J155),""))</x:f>
      </x:c>
      <x:c r="L155" s="26"/>
      <x:c r="M155" s="21" t="str">
        <x:f>IF(E155&lt;&gt;"Scorable","Not scorable",IF(COUNT(F155:J155)&lt;&gt;5,"Missing scores",IF(AND(COUNTIFS(F155:J155,1)+COUNTIFS(F155:J155,2)+COUNTIFS(F155:J155,5)&gt;0,L155=""),"Missing rationale","Complete")))</x:f>
        <x:v>Not scorable</x:v>
      </x:c>
    </x:row>
    <x:row r="156" ht="180" customHeight="1">
      <x:c r="A156" s="21" t="str">
        <x:v>RATE-DFB4954EE882</x:v>
      </x:c>
      <x:c r="B156" s="21" t="str">
        <x:v>SPEC-19</x:v>
      </x:c>
      <x:c r="C156"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56" s="21" t="str">
        <x:v>Coverage depth: HIGH
Depth justification: The DNS provider change impacts all network-dependent functions, which are critical to system operations. Broad regression testing is necessary to ensure no disruptions.
Functional tests:
1. Verify DNS resolution for all network-dependent services using the new secondary DNS provider.
2. Test failover scenarios where the primary DNS is unavailable, ensuring the secondary DNS (Google Public DNS) is used correctly.
3. Validate that the system correctly prioritizes the primary DNS over the secondary DNS under normal conditions.
Smoke tests:
1. Verify basic payment processing functionality at a point-of-sale terminal.
2. Test connectivity of Wi-Fi networks in a store environment.
3. Ensure online ordering platforms are accessible and functional.
4. Check that delivery platform integrations can retrieve and update order statuses.
5. Validate that the kitchen display system receives and displays orders correctly.
Regression tests:
1. Test payment device connectivity for both online and offline modes.
2. Verify order routing and storage functionality for kitchen display systems.
3. Validate digital menu board updates, including price changes.
4. Test loyalty and gift card processing in offline mode.
5. Ensure reporting and analytics data refreshes correctly after DNS resolution.
6. Verify employee creation workflows in the employee management system.
7. Test sales performance notification tools for timely updates.
8. Validate third-party order alert integrations for proper notifications.
Integration tests:
1. Perform end-to-end testing of online ordering platforms, from order placement to order fulfillment.
2. Test delivery platform integrations for order retrieval, status updates, and delivery confirmations.
3. Validate database reload and refresh processes to ensure no interruptions in data availability.
4. Test loyalty program integrations, including point accrual and redemption workflows.
5. Verify third-party integrations for order alerts and notifications.
Exploratory tests:
1. Simulate high DNS query loads to observe system behavior under stress.
2. Test system behavior during intermittent DNS resolution failures.
3. Verify behavior when both primary and secondary DNS providers are unavailable.
4. Test edge cases where DNS resolution is delayed but eventually succeeds.
5. Probe for any unexpected latency in payment processing or order routing due to DNS changes.
Clarification flags:
1. Are there any specific DNS failover scenarios or configurations that need to be tested beyond standard secondary DNS behavior?
2. What is the expected timeline for the DNS provider change, and will there be a rollback plan in case of issues?
3. Are there any known dependencies or custom configurations for the current secondary DNS provider that might not be compatible with Google Public DNS?
4. Should testing include any specific geographic regions or store locations with unique network setups?
Effort estimate: 50–70 test cases
Effort notes: The high number of test cases reflects the broad impact of the DNS change across multiple integrated systems and workflows.</x:v>
      </x:c>
      <x:c r="E156" s="21" t="str">
        <x:v>Scorable</x:v>
      </x:c>
      <x:c r="F156" s="28" t="n">
        <x:v>2</x:v>
      </x:c>
      <x:c r="G156" s="28" t="n">
        <x:v>3</x:v>
      </x:c>
      <x:c r="H156" s="28" t="n">
        <x:v>5</x:v>
      </x:c>
      <x:c r="I156" s="28" t="n">
        <x:v>2</x:v>
      </x:c>
      <x:c r="J156" s="28" t="n">
        <x:v>4</x:v>
      </x:c>
      <x:c r="K156" s="28" t="n">
        <x:f>IF(E156&lt;&gt;"Scorable","",IF(COUNT(F156:J156)=5,SUM(F156:J156),""))</x:f>
        <x:v>16</x:v>
      </x:c>
      <x:c r="L156" s="24" t="str">
        <x:v>Completeness 2: a critical or multiple important consensus expectations remain weak or missing; Risk 5: depth matches consensus and the justification is materially risk-specific; Integration 2: a critical or multiple important consensus expectations remain weak or missing; Frozen implicit consensus elements were treated as essential where applicable.</x:v>
      </x:c>
      <x:c r="M156" s="21" t="str">
        <x:f>IF(E156&lt;&gt;"Scorable","Not scorable",IF(COUNT(F156:J156)&lt;&gt;5,"Missing scores",IF(AND(COUNTIFS(F156:J156,1)+COUNTIFS(F156:J156,2)+COUNTIFS(F156:J156,5)&gt;0,L156=""),"Missing rationale","Complete")))</x:f>
        <x:v>Complete</x:v>
      </x:c>
    </x:row>
    <x:row r="157" ht="180" customHeight="1">
      <x:c r="A157" s="21" t="str">
        <x:v>RATE-46642FA2204F</x:v>
      </x:c>
      <x:c r="B157" s="21" t="str">
        <x:v>SPEC-11</x:v>
      </x:c>
      <x:c r="C157"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57" s="21" t="str">
        <x:v>Terminal invalid JSON. This observation is retained as a structural failure and receives no rubric score.</x:v>
      </x:c>
      <x:c r="E157" s="21" t="str">
        <x:v>Not scorable — terminal invalid JSON</x:v>
      </x:c>
      <x:c r="F157" s="29"/>
      <x:c r="G157" s="29"/>
      <x:c r="H157" s="29"/>
      <x:c r="I157" s="29"/>
      <x:c r="J157" s="29"/>
      <x:c r="K157" s="29" t="str">
        <x:f>IF(E157&lt;&gt;"Scorable","",IF(COUNT(F157:J157)=5,SUM(F157:J157),""))</x:f>
      </x:c>
      <x:c r="L157" s="26"/>
      <x:c r="M157" s="21" t="str">
        <x:f>IF(E157&lt;&gt;"Scorable","Not scorable",IF(COUNT(F157:J157)&lt;&gt;5,"Missing scores",IF(AND(COUNTIFS(F157:J157,1)+COUNTIFS(F157:J157,2)+COUNTIFS(F157:J157,5)&gt;0,L157=""),"Missing rationale","Complete")))</x:f>
        <x:v>Not scorable</x:v>
      </x:c>
    </x:row>
    <x:row r="158" ht="180" customHeight="1">
      <x:c r="A158" s="21" t="str">
        <x:v>RATE-7D5B44472BE2</x:v>
      </x:c>
      <x:c r="B158" s="21" t="str">
        <x:v>SPEC-11</x:v>
      </x:c>
      <x:c r="C158"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58" s="21" t="str">
        <x:v>Coverage depth: HIGH
Depth justification: Complexity of price lock behavior and integration between systems
Functional tests:
1. Verify price lock behavior for advance orders with multiple items
2. Test order processing at locked price when item prices change before fulfillment
3. Confirm no errors or price discrepancies when sending order to POS
Smoke tests:
1. Basic advance order placement and payment processing
2. Verify order status updates in the mobile app
Regression tests:
1. Test price lock behavior with various item price change scenarios (e.g., increase, decrease, multiple changes)
2. Verify order fulfillment and payment processing with price changes
Integration tests:
1. Test integration between mobile app, pricing engine, and POS order processing
2. Verify data consistency across systems (e.g., order details, pricing, status)
Exploratory tests:
1. Edge case testing with multiple item price changes, order modifications, and cancellations
2. Test price lock behavior with different payment methods and promotions
Clarification flags:
1. Definition of 'price lock' and its implementation details
2. How the system handles concurrent price changes and order modifications
3. Any specific product decision dependencies or requirements
Effort estimate: 15–30 test cases
Effort notes: Dependent on the number of edge cases and exploratory testing required</x:v>
      </x:c>
      <x:c r="E158" s="21" t="str">
        <x:v>Scorable</x:v>
      </x:c>
      <x:c r="F158" s="28" t="n">
        <x:v>3</x:v>
      </x:c>
      <x:c r="G158" s="28" t="n">
        <x:v>3</x:v>
      </x:c>
      <x:c r="H158" s="28" t="n">
        <x:v>4</x:v>
      </x:c>
      <x:c r="I158" s="28" t="n">
        <x:v>4</x:v>
      </x:c>
      <x:c r="J158" s="28" t="n">
        <x:v>2</x:v>
      </x:c>
      <x:c r="K158" s="28" t="n">
        <x:f>IF(E158&lt;&gt;"Scorable","",IF(COUNT(F158:J158)=5,SUM(F158:J158),""))</x:f>
        <x:v>16</x:v>
      </x:c>
      <x:c r="L158" s="24" t="str">
        <x:v>Clarification 2: a critical or multiple important consensus expectations remain weak or missing; Frozen implicit consensus elements were treated as essential where applicable.</x:v>
      </x:c>
      <x:c r="M158" s="21" t="str">
        <x:f>IF(E158&lt;&gt;"Scorable","Not scorable",IF(COUNT(F158:J158)&lt;&gt;5,"Missing scores",IF(AND(COUNTIFS(F158:J158,1)+COUNTIFS(F158:J158,2)+COUNTIFS(F158:J158,5)&gt;0,L158=""),"Missing rationale","Complete")))</x:f>
        <x:v>Complete</x:v>
      </x:c>
    </x:row>
    <x:row r="159" ht="180" customHeight="1">
      <x:c r="A159" s="21" t="str">
        <x:v>RATE-E779C05F69FF</x:v>
      </x:c>
      <x:c r="B159" s="21" t="str">
        <x:v>SPEC-19</x:v>
      </x:c>
      <x:c r="C159"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59" s="21" t="str">
        <x:v>Coverage depth: HIGH
Depth justification: The DNS change impacts all network-dependent functions, requiring comprehensive testing to ensure system stability and functionality.
Functional tests:
1. Verify DNS resolution for payment device connectivity.
2. Test DNS resolution for Wi-Fi network connectivity.
3. Validate remote management tool functions under the new DNS configuration.
4. Ensure kitchen display system routes orders correctly.
5. Test order storing and picking functionality.
6. Verify digital menu board updates and price changes.
7. Test delivery platform integrations for order processing.
8. Validate online ordering platform order placement and processing.
9. Ensure gift card and loyalty processing works in offline mode.
10. Test database reload and refresh functionality.
11. Verify reporting and analytics data accuracy.
12. Test employee creation workflows.
13. Validate sales performance notification tools.
14. Ensure third-party order alert integrations function correctly.
Smoke tests:
1. Verify basic DNS resolution functionality with the new secondary DNS provider.
2. Test payment device connectivity for basic transactions.
3. Ensure online ordering platform can process a simple order.
4. Check delivery platform integration for a basic delivery order.
5. Test Wi-Fi network connectivity in a standard environment.
Regression tests:
1. Perform end-to-end testing of payment processing workflows.
2. Test all delivery platform integrations for edge cases.
3. Validate loyalty and gift card processing in both online and offline modes.
4. Test reporting and analytics for data consistency across multiple scenarios.
5. Ensure employee creation workflows handle all expected inputs and edge cases.
6. Perform regression testing on third-party order alert integrations.
7. Validate order routing and processing across kitchen display systems.
8. Test database reload and refresh under various load conditions.
Integration tests:
1. Test integration between the online ordering platform and payment processing.
2. Validate delivery platform integrations with the new DNS configuration.
3. Test integration between loyalty systems and payment processing.
4. Ensure proper communication between kitchen display systems and order management systems.
5. Test integration between reporting tools and the database.
Exploratory tests:
1. Explore potential edge cases in DNS resolution failures.
2. Test system behavior under intermittent DNS resolution issues.
3. Investigate unexpected behaviors in third-party integrations.
4. Explore system performance during high traffic with the new DNS configuration.
5. Test unusual workflows in employee management and order processing.
Clarification flags:
1. Details on the timeline for the DNS provider change.
2. Confirmation of fallback procedures in case of DNS resolution failures.
3. Clarification on any specific configurations or customizations for Google Public DNS.
4. Information on whether any systems are exempt from testing due to limited impact.
Effort estimate: 50–100 test cases
Effort notes: The broad scope of this change necessitates extensive testing across multiple system areas and integrations.</x:v>
      </x:c>
      <x:c r="E159" s="21" t="str">
        <x:v>Scorable</x:v>
      </x:c>
      <x:c r="F159" s="28" t="n">
        <x:v>3</x:v>
      </x:c>
      <x:c r="G159" s="28" t="n">
        <x:v>3</x:v>
      </x:c>
      <x:c r="H159" s="28" t="n">
        <x:v>4</x:v>
      </x:c>
      <x:c r="I159" s="28" t="n">
        <x:v>2</x:v>
      </x:c>
      <x:c r="J159" s="28" t="n">
        <x:v>2</x:v>
      </x:c>
      <x:c r="K159" s="28" t="n">
        <x:f>IF(E159&lt;&gt;"Scorable","",IF(COUNT(F159:J159)=5,SUM(F159:J159),""))</x:f>
        <x:v>14</x:v>
      </x:c>
      <x:c r="L159" s="24" t="str">
        <x:v>Integration 2: a critical or multiple important consensus expectations remain weak or missing; Clarification 2: a critical or multiple important consensus expectations remain weak or missing; Frozen implicit consensus elements were treated as essential where applicable.</x:v>
      </x:c>
      <x:c r="M159" s="21" t="str">
        <x:f>IF(E159&lt;&gt;"Scorable","Not scorable",IF(COUNT(F159:J159)&lt;&gt;5,"Missing scores",IF(AND(COUNTIFS(F159:J159,1)+COUNTIFS(F159:J159,2)+COUNTIFS(F159:J159,5)&gt;0,L159=""),"Missing rationale","Complete")))</x:f>
        <x:v>Complete</x:v>
      </x:c>
    </x:row>
    <x:row r="160" ht="180" customHeight="1">
      <x:c r="A160" s="21" t="str">
        <x:v>RATE-9985CDC13A9E</x:v>
      </x:c>
      <x:c r="B160" s="21" t="str">
        <x:v>SPEC-16</x:v>
      </x:c>
      <x:c r="C160"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60" s="21" t="str">
        <x:v>Coverage depth: MEDIUM
Depth justification: New content records added, requiring validation of no interference with existing functionality
Functional tests:
1. Validate existing serialized coupons can still be applied at POS without errors
2. Verify existing discounts are correctly calculated and applied at checkout
3. Confirm new promotional BIN ranges do not override existing coupon and discount configurations
4. Test that existing coupons and discounts can coexist with new promotional items in the content management system
Smoke tests:
1. Quick sanity check of POS functionality to ensure no critical issues with transaction processing
2. Verify content management system accessibility and basic functionality
Regression tests:
1. Regression testing of existing coupon and discount application scenarios at POS
2. Validate that existing reports and analytics related to coupons and discounts are unaffected
3. Test that existing system integrations (e.g., payment gateways, inventory management) continue to function as expected
Integration tests:
1. End-to-end testing of coupon and discount application through POS, including payment processing and inventory updates
2. Validate data consistency between content management system, POS, and reporting databases
Exploratory tests:
1. Edge-case testing of coupon and discount combinations to ensure no unintended interactions
2. Exploratory testing of new promotional items and BIN ranges with existing serialized coupons to identify potential issues
Clarification flags:
1. Specific details on the new promotional BIN ranges and how they differ from existing configurations
2. Confirmation on which exact areas of the content management system were updated and require regression testing
3. Information on any recent changes to the POS system or reporting analytics that could impact testing
Effort estimate: 20–40 test cases
Effort notes: Effort estimate assumes a small QA team with existing knowledge of the system and test environment</x:v>
      </x:c>
      <x:c r="E160" s="21" t="str">
        <x:v>Scorable</x:v>
      </x:c>
      <x:c r="F160" s="28" t="n">
        <x:v>2</x:v>
      </x:c>
      <x:c r="G160" s="28" t="n">
        <x:v>3</x:v>
      </x:c>
      <x:c r="H160" s="28" t="n">
        <x:v>4</x:v>
      </x:c>
      <x:c r="I160" s="28" t="n">
        <x:v>3</x:v>
      </x:c>
      <x:c r="J160" s="28" t="n">
        <x:v>3</x:v>
      </x:c>
      <x:c r="K160" s="28" t="n">
        <x:f>IF(E160&lt;&gt;"Scorable","",IF(COUNT(F160:J160)=5,SUM(F160:J160),""))</x:f>
        <x:v>15</x:v>
      </x:c>
      <x:c r="L160" s="24" t="str">
        <x:v>Completeness 2: a critical or multiple important consensus expectations remain weak or missing; Frozen implicit consensus elements were treated as essential where applicable.</x:v>
      </x:c>
      <x:c r="M160" s="21" t="str">
        <x:f>IF(E160&lt;&gt;"Scorable","Not scorable",IF(COUNT(F160:J160)&lt;&gt;5,"Missing scores",IF(AND(COUNTIFS(F160:J160,1)+COUNTIFS(F160:J160,2)+COUNTIFS(F160:J160,5)&gt;0,L160=""),"Missing rationale","Complete")))</x:f>
        <x:v>Complete</x:v>
      </x:c>
    </x:row>
    <x:row r="161" ht="180" customHeight="1">
      <x:c r="A161" s="21" t="str">
        <x:v>RATE-DE9E6582DDEE</x:v>
      </x:c>
      <x:c r="B161" s="21" t="str">
        <x:v>SPEC-16</x:v>
      </x:c>
      <x:c r="C161"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61" s="21" t="str">
        <x:v>Coverage depth: HIGH
Depth justification: The feature involves regression testing of critical coupon and discount functionality, which directly impacts revenue and customer experience.
Functional tests:
1. Validate that existing serialized coupons can still be applied correctly at the POS.
2. Verify that discounts associated with existing BIN ranges are calculated accurately.
3. Ensure that serialized coupons with expiration dates are still honored or rejected as expected.
Smoke tests:
1. Confirm that the POS system processes a basic transaction with serialized coupons without errors.
2. Verify that the content management system loads existing coupon configurations without issues.
Regression tests:
1. Test a variety of serialized coupons across different BIN ranges to ensure no interference from the new promotional BIN ranges.
2. Validate that existing discount rules tied to serialized coupons remain unaffected.
3. Perform edge case testing for serialized coupons, such as maximum and minimum discount values.
Integration tests:
1. Test the interaction between the content management system and the POS system to ensure serialized coupons are applied correctly.
2. Validate that the content management system exports coupon data accurately to the POS system.
Exploratory tests:
1. Investigate any unexpected behaviors when applying serialized coupons alongside new promotional BIN range discounts.
2. Explore scenarios where serialized coupons and new promotional discounts are used in combination to identify potential conflicts.
Clarification flags:
1. Are there specific serialized coupons or BIN ranges that should be prioritized for testing?
2. What is the exact go-live date to ensure testing aligns with the deployment timeline?
3. Are there any known limitations or constraints in the UAT environment that could affect testing?
Effort estimate: 15–25 test cases
Effort notes: Effort includes regression testing of existing coupons, integration testing, and exploratory testing to ensure no interference from new BIN ranges.</x:v>
      </x:c>
      <x:c r="E161" s="21" t="str">
        <x:v>Scorable</x:v>
      </x:c>
      <x:c r="F161" s="28" t="n">
        <x:v>3</x:v>
      </x:c>
      <x:c r="G161" s="28" t="n">
        <x:v>3</x:v>
      </x:c>
      <x:c r="H161" s="28" t="n">
        <x:v>2</x:v>
      </x:c>
      <x:c r="I161" s="28" t="n">
        <x:v>3</x:v>
      </x:c>
      <x:c r="J161" s="28" t="n">
        <x:v>3</x:v>
      </x:c>
      <x:c r="K161" s="28" t="n">
        <x:f>IF(E161&lt;&gt;"Scorable","",IF(COUNT(F161:J161)=5,SUM(F161:J161),""))</x:f>
        <x:v>14</x:v>
      </x:c>
      <x:c r="L161" s="24" t="str">
        <x:v>Risk 2: a critical or multiple important consensus expectations remain weak or missing; Frozen implicit consensus elements were treated as essential where applicable.</x:v>
      </x:c>
      <x:c r="M161" s="21" t="str">
        <x:f>IF(E161&lt;&gt;"Scorable","Not scorable",IF(COUNT(F161:J161)&lt;&gt;5,"Missing scores",IF(AND(COUNTIFS(F161:J161,1)+COUNTIFS(F161:J161,2)+COUNTIFS(F161:J161,5)&gt;0,L161=""),"Missing rationale","Complete")))</x:f>
        <x:v>Complete</x:v>
      </x:c>
    </x:row>
    <x:row r="162" ht="180" customHeight="1">
      <x:c r="A162" s="21" t="str">
        <x:v>RATE-2CFC4D69E92D</x:v>
      </x:c>
      <x:c r="B162" s="21" t="str">
        <x:v>SPEC-04</x:v>
      </x:c>
      <x:c r="C162"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62" s="21" t="str">
        <x:v>Coverage depth: HIGH
Depth justification: New feature implementation with multiple system area impacts
Functional tests:
1. Verify the new catering voucher tender key is visible and accessible on the POS
2. Test successful transaction processing using the catering voucher tender key
3. Validate tender behavior for partial payments, refunds, and cancellations with catering vouchers
4. Confirm existing in-store catering order type behavior remains unchanged
5. Test POS reporting for catering voucher transactions in Property Financial, Employee Financial, and Revenue Center Financial reports
6. Validate analytics reports for system sales, tender media, POS category, tax, 24h sales summary, and new tender detail
Smoke tests:
1. Quick validation of major POS functionality to ensure no critical issues with the new tender key implementation
2. Check for any unexpected errors or crashes when using the catering voucher tender key
3. Verify that other payment tender types are unaffected by the new catering voucher tender key
Regression tests:
1. Re-test existing POS functionality, including all payment tender types, to ensure no regression
2. Validate that existing reports (Property Financial, Employee Financial, Revenue Center Financial) still function correctly
3. Test analytics reports for existing tender types to ensure data accuracy and completeness
Integration tests:
1. End-to-end testing of catering voucher transactions from POS to financial reporting
2. Validate data flow from POS to third-party data pipeline and business intelligence platform
3. Test integration with analytics system to ensure accurate and complete data
Exploratory tests:
1. Test edge cases, such as using multiple tender types (including catering voucher) in a single transaction
2. Explore scenarios with partial payments, refunds, or cancellations using catering vouchers
3. Investigate how the system handles errors or exceptions during catering voucher transaction processing
Clarification flags:
1. Configuration workflow for the new catering voucher tender key
2. Kitchen display unit order routing implementation details
3. Loyalty program transaction validation requirements
4. Third-party reference implementation specifics
5. Any existing technical debt or known issues in the affected system areas
Effort estimate: 50–100 test cases
Effort notes: Effort estimate reflects the complexity of the new feature, multiple system areas impacted, and the need for thorough regression and integration testing</x:v>
      </x:c>
      <x:c r="E162" s="21" t="str">
        <x:v>Scorable</x:v>
      </x:c>
      <x:c r="F162" s="28" t="n">
        <x:v>5</x:v>
      </x:c>
      <x:c r="G162" s="28" t="n">
        <x:v>4</x:v>
      </x:c>
      <x:c r="H162" s="28" t="n">
        <x:v>3</x:v>
      </x:c>
      <x:c r="I162" s="28" t="n">
        <x:v>5</x:v>
      </x:c>
      <x:c r="J162" s="28" t="n">
        <x:v>4</x:v>
      </x:c>
      <x:c r="K162" s="28" t="n">
        <x:f>IF(E162&lt;&gt;"Scorable","",IF(COUNT(F162:J162)=5,SUM(F162:J162),""))</x:f>
        <x:v>21</x:v>
      </x:c>
      <x:c r="L162" s="24" t="str">
        <x:v>Completeness 5: essentially all material consensus expectations are covered at this dimension; Integration 5: essentially all material consensus expectations are covered at this dimension; Frozen implicit consensus elements were treated as essential where applicable.</x:v>
      </x:c>
      <x:c r="M162" s="21" t="str">
        <x:f>IF(E162&lt;&gt;"Scorable","Not scorable",IF(COUNT(F162:J162)&lt;&gt;5,"Missing scores",IF(AND(COUNTIFS(F162:J162,1)+COUNTIFS(F162:J162,2)+COUNTIFS(F162:J162,5)&gt;0,L162=""),"Missing rationale","Complete")))</x:f>
        <x:v>Complete</x:v>
      </x:c>
    </x:row>
    <x:row r="163" ht="180" customHeight="1">
      <x:c r="A163" s="21" t="str">
        <x:v>RATE-18581AADAAD7</x:v>
      </x:c>
      <x:c r="B163" s="21" t="str">
        <x:v>SPEC-08</x:v>
      </x:c>
      <x:c r="C163"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63" s="21" t="str">
        <x:v>Coverage depth: MEDIUM
Depth justification: The change is specific to a security/access control configuration, but it has a moderate impact on the system's behavior and requires testing of various roles and scenarios
Functional tests:
1. Verify that the system option bit to block void on empty check is disabled for the specified roles (Brand A: Shift Lead standard, Shift Lead plus, Assistant Manager, Manager, Multi-Unit, Field Engineer; Brand B: Franchisee, Manager, Shift Leader)
2. Confirm that the restriction prevents void on empty check for the specified roles
3. Validate that legitimate operations (voiding individual items, transaction returns, opening closed checks) are not disrupted for the specified roles
4. Test that roles with no change (Brand A: Crew, Crew Plus; Brand B: Crew Member, Senior Crew Member) still require authorization for void on empty check
Smoke tests:
1. Verify that the system option bit change does not cause any errors or crashes during POS role configuration or transaction management
2. Confirm that the restriction is applied consistently across both brands
Regression tests:
1. Test that the change does not affect existing transaction return processes
2. Verify that the restriction does not impact other security or access control configurations
Integration tests:
1. Test the integration of the role-based access control with transaction management and POS role configuration
2. Verify that the restriction works correctly with different combinations of roles and permissions
Exploratory tests:
1. Explore the system's behavior when attempting to void on empty check with different roles and permissions
2. Investigate potential workarounds or bypasses of the restriction
Clarification flags:
1. Confirmation of the exact roles and permissions affected by the change
2. Details on the expected behavior for legitimate operations (voiding individual items, transaction returns, opening closed checks) for each role
Effort estimate: 20–40 test cases
Effort notes: The estimate depends on the complexity of the testing environment and the number of roles and scenarios to be tested</x:v>
      </x:c>
      <x:c r="E163" s="21" t="str">
        <x:v>Scorable</x:v>
      </x:c>
      <x:c r="F163" s="28" t="n">
        <x:v>3</x:v>
      </x:c>
      <x:c r="G163" s="28" t="n">
        <x:v>3</x:v>
      </x:c>
      <x:c r="H163" s="28" t="n">
        <x:v>3</x:v>
      </x:c>
      <x:c r="I163" s="28" t="n">
        <x:v>3</x:v>
      </x:c>
      <x:c r="J163" s="28" t="n">
        <x:v>2</x:v>
      </x:c>
      <x:c r="K163" s="28" t="n">
        <x:f>IF(E163&lt;&gt;"Scorable","",IF(COUNT(F163:J163)=5,SUM(F163:J163),""))</x:f>
        <x:v>14</x:v>
      </x:c>
      <x:c r="L163" s="24" t="str">
        <x:v>Clarification 2: a critical or multiple important consensus expectations remain weak or missing; Frozen implicit consensus elements were treated as essential where applicable.</x:v>
      </x:c>
      <x:c r="M163" s="21" t="str">
        <x:f>IF(E163&lt;&gt;"Scorable","Not scorable",IF(COUNT(F163:J163)&lt;&gt;5,"Missing scores",IF(AND(COUNTIFS(F163:J163,1)+COUNTIFS(F163:J163,2)+COUNTIFS(F163:J163,5)&gt;0,L163=""),"Missing rationale","Complete")))</x:f>
        <x:v>Complete</x:v>
      </x:c>
    </x:row>
    <x:row r="164" ht="180" customHeight="1">
      <x:c r="A164" s="21" t="str">
        <x:v>RATE-2073425816B6</x:v>
      </x:c>
      <x:c r="B164" s="21" t="str">
        <x:v>SPEC-13</x:v>
      </x:c>
      <x:c r="C164"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64" s="21" t="str">
        <x:v>Coverage depth: HIGH
Depth justification: This change directly affects POS configuration inheritance and menu page design delivery at the terminal level, which has immediate customer-facing and operational impact. The risk of incorrect menu display (either showing limited-menu content at a full-menu location or vice versa) is high. Additionally, the hierarchy change has regression risk across all existing non-traditional and traditional zones. The change is a configuration addition but touches a shared inheritance chain, making cross-zone contamination a credible failure mode.
Functional tests:
1. Verify that the new zone exists and is correctly named within the non-traditional store network and properties hierarchy.
2. Verify that the new zone is categorized under the non-traditional store network parent node and not under the traditional store hierarchy.
3. Verify that a property assigned to the new zone pulls down the standard brand POS configuration (not the limited-menu non-traditional configuration).
4. Verify that a property assigned to the new zone pulls down the correct full-menu page design.
5. Verify that the full-menu page design pulled down for the new zone includes all expected menu categories, items, and pages present in the standard brand configuration.
6. Verify that the limited-menu bakery-only page design is NOT present on a POS terminal assigned to the new zone.
7. Verify that the beverage-only page design is NOT present on a POS terminal assigned to the new zone.
8. Verify that assigning a new property to the new zone and performing a configuration pull-down results in the correct full-menu page design being applied.
9. Verify that removing a property from the new zone and reassigning it to an existing non-traditional zone restores the limited-menu page design on that property.
10. Verify that the new zone's inherited configuration matches the standard brand configuration at the parent level (pricing, modifiers, tax settings, tender types) and contains no non-traditional overrides.
11. Verify that all POS terminals at a property assigned to the new zone display the full-menu page design after a configuration sync or pull-down.
12. Verify that the zone hierarchy level (parent-child relationship) is correctly structured so the new zone inherits from the correct parent node.
Smoke tests:
1. Confirm the new zone is visible and selectable in the hierarchy/zone management interface.
2. Confirm that at least one test property assigned to the new zone successfully pulls down a POS configuration without errors.
3. Confirm that the full-menu page design is present and loads on a POS terminal assigned to the new zone.
4. Confirm that the limited-menu page design is absent from a POS terminal assigned to the new zone.
Regression tests:
1. Verify that existing non-traditional zone properties still pull down the limited-menu bakery and beverage-only page design after the new zone is added to the hierarchy.
2. Verify that existing traditional store zone properties are unaffected and continue to pull down their expected standard brand configuration and page designs.
3. Verify that the standard brand configuration at the parent level has not been altered or corrupted by the addition of the new zone.
4. Verify that other non-traditional zones in the hierarchy retain their correct parent-child relationships and configuration inheritance after the new zone is introduced.
5. Verify that a POS terminal at an existing non-traditional location does not inadvertently inherit the full-menu page design after the new zone is added.
6. Verify that configuration pull-down processes for all existing zones complete without errors or unexpected changes following the hierarchy update.
7. Verify that menu item availability, pricing, and modifiers on existing non-traditional zone terminals remain unchanged after the hierarchy change.
Integration tests:
1. Verify that the POS configuration management system correctly resolves and delivers the full-menu page design to a terminal assigned to the new zone during an end-to-end configuration pull-down.
2. Verify that the hierarchy management interface correctly saves and persists the new zone assignment when a property is moved into the new zone.
3. Verify that the page design delivery pipeline (from central configuration system to POS terminal) correctly identifies the new zone and applies the full-menu design rather than the limited-menu design.
4. Verify that any reporting or store management tools that reference zone assignments reflect the new zone correctly for properties assigned to it.
5. Verify that the configuration inheritance chain (brand-level → new zone → property → terminal) resolves without conflicts or overrides that would revert the terminal to a limited-menu design.
6. Verify that if multiple terminals exist at a property in the new zone, all terminals receive the full-menu page design in a single configuration sync event.
Exploratory tests:
1. Explore what happens when a property is assigned to the new zone but a configuration pull-down has not yet been performed — does the terminal display stale limited-menu content or a blank/error state?
2. Explore whether partial configuration pull-downs (e.g., only page design sync, not full config) correctly apply the full-menu design for new zone properties.
3. Explore the behavior when a property is moved from the new zone back to an existing non-traditional zone mid-business-day — does the terminal revert to limited-menu without requiring a full restart?
4. Explore whether any limited-menu page design elements (bakery or beverage-only pages) appear as hidden, inactive, or residual pages on a terminal after being assigned to the new zone.
5. Explore the hierarchy management UI for edge cases: duplicate zone names, ability to accidentally nest the new zone under the wrong parent, or saving an incomplete zone configuration.
6. Explore the behavior when two properties — one in the new zone and one in an existing non-traditional zone — are synced simultaneously to confirm no cross-contamination of page designs.
7. Explore whether the new zone correctly handles future menu updates pushed at the standard brand level, ensuring full-menu updates propagate to new zone properties.
8. Explore the POS terminal behavior if the zone assignment is ambiguous or missing — does it fail safe to a known configuration or produce an error?
Clarification flags:
1. How many properties or terminals will initially be assigned to the new zone? This affects the scope of functional and integration testing.
2. Is there a staging or QA hierarchy environment that mirrors production, or will testing occur directly in production with a test property?
3. What is the exact mechanism for configuration pull-down — scheduled sync, manual trigger, or terminal restart? This affects timing and exploratory test design.
4. What specific page design name or identifier is designated as the 'full-menu page design' for the new zone? Needed to confirm correct design is applied versus a similarly named variant.
5. Are there any zone-level overrides (pricing, modifiers, tax, tender types) intended for the new zone, or is it purely inheriting standard brand configuration with no local overrides?
6. What is the rollback plan if the new zone configuration is incorrect — can properties be reassigned to a prior zone without a full POS reconfiguration?
7. Are there any other non-traditional zones that also carry a full menu, or is this the first such zone? If others exist, their configuration can serve as a baseline for comparison.
8. Does the new zone need to be validated against a specific list of approved full-menu items, or is the page design itself the acceptance criterion?
9. Will the new zone be visible to store operators or only to corporate configuration administrators? This affects UI-level access control testing.
10. Is there a defined configuration pull-down window or blackout period that would constrain when testing can be performed in a shared environment?
Effort estimate: 28–42 test cases
Effort notes: Estimate assumes access to at least one test property assignable to the new zone, a staging or QA POS environment that mirrors the production hierarchy, and at least one existing non-traditional zone property for regression comparison. The higher end accounts for multi-terminal property scenarios, additional existing zone regression checks, and exploratory time. If a production-like hierarchy environment is unavailable, effort may increase due to environment setup.</x:v>
      </x:c>
      <x:c r="E164" s="21" t="str">
        <x:v>Scorable</x:v>
      </x:c>
      <x:c r="F164" s="28" t="n">
        <x:v>5</x:v>
      </x:c>
      <x:c r="G164" s="28" t="n">
        <x:v>5</x:v>
      </x:c>
      <x:c r="H164" s="28" t="n">
        <x:v>5</x:v>
      </x:c>
      <x:c r="I164" s="28" t="n">
        <x:v>5</x:v>
      </x:c>
      <x:c r="J164" s="28" t="n">
        <x:v>4</x:v>
      </x:c>
      <x:c r="K164" s="28" t="n">
        <x:f>IF(E164&lt;&gt;"Scorable","",IF(COUNT(F164:J164)=5,SUM(F164:J164),""))</x:f>
        <x:v>24</x:v>
      </x:c>
      <x:c r="L164"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164" s="21" t="str">
        <x:f>IF(E164&lt;&gt;"Scorable","Not scorable",IF(COUNT(F164:J164)&lt;&gt;5,"Missing scores",IF(AND(COUNTIFS(F164:J164,1)+COUNTIFS(F164:J164,2)+COUNTIFS(F164:J164,5)&gt;0,L164=""),"Missing rationale","Complete")))</x:f>
        <x:v>Complete</x:v>
      </x:c>
    </x:row>
    <x:row r="165" ht="180" customHeight="1">
      <x:c r="A165" s="21" t="str">
        <x:v>RATE-3794F6DCE0B5</x:v>
      </x:c>
      <x:c r="B165" s="21" t="str">
        <x:v>SPEC-01</x:v>
      </x:c>
      <x:c r="C165"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165" s="21" t="str">
        <x:v>Coverage depth: MEDIUM
Depth justification: The bug fix affects a specific integration point between the POS and online ordering platform, requiring a moderate level of testing to ensure correct functionality
Functional tests:
1. Test that marking a menu item as Out of Stock on the POS updates the item's status immediately
2. Test that the online ordering portal reflects the Out of Stock status after the configured sync interval
3. Test that customers cannot add an Out of Stock item to their cart on the online web and mobile ordering apps
4. Test that removing the Out of Stock flag and saving updates the item's status to available on both POS and online ordering apps
Smoke tests:
1. Verify that the menu sync process completes successfully overnight
2. Confirm that the online ordering portal displays the correct availability status for menu items after a full sync cycle
Regression tests:
1. Test that other menu items remain unaffected by the Out of Stock status update
2. Verify that the online ordering portal continues to function correctly for other menu items and ordering scenarios
Integration tests:
1. Test the integration between the POS and online ordering platform to ensure seamless menu sync
2. Verify that the online ordering portal correctly handles Out of Stock items during the checkout process
Exploratory tests:
1. Explore the online ordering portal's behavior when multiple items are marked as Out of Stock
2. Investigate how the system handles items with varying availability statuses (e.g., some items Out of Stock, others available)
Clarification flags:
1. What is the exact configured sync interval for the menu sync process?
2. Are there any specific error messages or logs that should be verified during testing?
Effort estimate: 10–20 test cases
Effort notes: The estimate assumes a moderate number of test cases to cover the functional, smoke, and regression testing, with some additional exploratory testing to ensure the system's overall stability</x:v>
      </x:c>
      <x:c r="E165" s="21" t="str">
        <x:v>Scorable</x:v>
      </x:c>
      <x:c r="F165" s="28" t="n">
        <x:v>3</x:v>
      </x:c>
      <x:c r="G165" s="28" t="n">
        <x:v>4</x:v>
      </x:c>
      <x:c r="H165" s="28" t="n">
        <x:v>2</x:v>
      </x:c>
      <x:c r="I165" s="28" t="n">
        <x:v>3</x:v>
      </x:c>
      <x:c r="J165" s="28" t="n">
        <x:v>2</x:v>
      </x:c>
      <x:c r="K165" s="28" t="n">
        <x:f>IF(E165&lt;&gt;"Scorable","",IF(COUNT(F165:J165)=5,SUM(F165:J165),""))</x:f>
        <x:v>14</x:v>
      </x:c>
      <x:c r="L165"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165" s="21" t="str">
        <x:f>IF(E165&lt;&gt;"Scorable","Not scorable",IF(COUNT(F165:J165)&lt;&gt;5,"Missing scores",IF(AND(COUNTIFS(F165:J165,1)+COUNTIFS(F165:J165,2)+COUNTIFS(F165:J165,5)&gt;0,L165=""),"Missing rationale","Complete")))</x:f>
        <x:v>Complete</x:v>
      </x:c>
    </x:row>
    <x:row r="166" ht="180" customHeight="1">
      <x:c r="A166" s="22" t="str">
        <x:v>RATE-1EF863342CD0</x:v>
      </x:c>
      <x:c r="B166" s="22" t="str">
        <x:v>SPEC-15</x:v>
      </x:c>
      <x:c r="C166" s="22"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66" s="22" t="str">
        <x:v>Coverage depth: LOW
Depth justification: The change is a bug fix for a specific UI messaging issue, which is a relatively low-risk change
Functional tests:
1. Verify the correct CANCEL TRANSACTION message is displayed on the POS terminal when a gift card transaction is cancelled with cloud processing disabled
2. Test that the incorrect VOID NEW ITEMS AND CANCEL TRANSACTION message is no longer displayed after the configuration fix
3. Confirm the POS terminal displays the correct message for different types of gift card transactions (e.g., purchase, refund, balance inquiry) when cancelled
Smoke tests:
1. Validate that gift card transactions can still be processed successfully with cloud processing disabled
2. Check that other POS terminal messages (e.g., payment confirmation, error messages) are not affected by the configuration change
Regression tests:
1. Verify that the fix does not introduce any issues with gift card transaction processing when cloud processing is enabled
2. Test that the correct messages are displayed for other types of transactions (e.g., credit card, cash) when cancelled or completed
Integration tests:
1. Validate end-to-end gift card transaction cancellation with cloud processing disabled, including backend processing and terminal display
2. Test that the POS terminal correctly communicates with the backend system to cancel gift card transactions
Exploratory tests:
1. Investigate how the POS terminal behaves when a gift card transaction is cancelled multiple times in a row with cloud processing disabled
2. Explore the impact of the configuration fix on gift card transactions with special conditions (e.g., expired cards, insufficient balance)
Clarification flags:
1. What are the specific configuration files that need to be corrected or overridden?
2. Are there any other dependencies or integrations that could be affected by the configuration change?
3. What are the exact steps to reproduce the issue with the incorrect message, and how will the fix be verified?
Effort estimate: 15–25 test cases
Effort notes: The estimate assumes a small QA team and a focused testing effort on the specific gift card transaction cancellation scenario</x:v>
      </x:c>
      <x:c r="E166" s="22" t="str">
        <x:v>Scorable</x:v>
      </x:c>
      <x:c r="F166" s="30" t="n">
        <x:v>4</x:v>
      </x:c>
      <x:c r="G166" s="30" t="n">
        <x:v>4</x:v>
      </x:c>
      <x:c r="H166" s="30" t="n">
        <x:v>2</x:v>
      </x:c>
      <x:c r="I166" s="30" t="n">
        <x:v>4</x:v>
      </x:c>
      <x:c r="J166" s="30" t="n">
        <x:v>2</x:v>
      </x:c>
      <x:c r="K166" s="30" t="n">
        <x:f>IF(E166&lt;&gt;"Scorable","",IF(COUNT(F166:J166)=5,SUM(F166:J166),""))</x:f>
        <x:v>16</x:v>
      </x:c>
      <x:c r="L166" s="25" t="str">
        <x:v>Risk 2: a critical or multiple important consensus expectations remain weak or missing; Clarification 2: a critical or multiple important consensus expectations remain weak or missing; Frozen implicit consensus elements were treated as essential where applicable.</x:v>
      </x:c>
      <x:c r="M166" s="22" t="str">
        <x:f>IF(E166&lt;&gt;"Scorable","Not scorable",IF(COUNT(F166:J166)&lt;&gt;5,"Missing scores",IF(AND(COUNTIFS(F166:J166,1)+COUNTIFS(F166:J166,2)+COUNTIFS(F166:J166,5)&gt;0,L166=""),"Missing rationale","Complete")))</x:f>
        <x:v>Complete</x:v>
      </x:c>
    </x:row>
    <x:row r="167">
      <x:c r="F167"/>
      <x:c r="G167"/>
      <x:c r="H167"/>
      <x:c r="I167"/>
      <x:c r="J167"/>
      <x:c r="L167"/>
    </x:row>
    <x:row r="168">
      <x:c r="F168"/>
      <x:c r="G168"/>
      <x:c r="H168"/>
      <x:c r="I168"/>
      <x:c r="J168"/>
      <x:c r="L168"/>
    </x:row>
    <x:row r="169">
      <x:c r="F169"/>
      <x:c r="G169"/>
      <x:c r="H169"/>
      <x:c r="I169"/>
      <x:c r="J169"/>
      <x:c r="L169"/>
    </x:row>
    <x:row r="170">
      <x:c r="F170"/>
      <x:c r="G170"/>
      <x:c r="H170"/>
      <x:c r="I170"/>
      <x:c r="J170"/>
      <x:c r="L170"/>
    </x:row>
    <x:row r="171">
      <x:c r="F171"/>
      <x:c r="G171"/>
      <x:c r="H171"/>
      <x:c r="I171"/>
      <x:c r="J171"/>
      <x:c r="L171"/>
    </x:row>
    <x:row r="172">
      <x:c r="F172"/>
      <x:c r="G172"/>
      <x:c r="H172"/>
      <x:c r="I172"/>
      <x:c r="J172"/>
      <x:c r="L172"/>
    </x:row>
    <x:row r="173">
      <x:c r="F173"/>
      <x:c r="G173"/>
      <x:c r="H173"/>
      <x:c r="I173"/>
      <x:c r="J173"/>
      <x:c r="L173"/>
    </x:row>
    <x:row r="174">
      <x:c r="F174"/>
      <x:c r="G174"/>
      <x:c r="H174"/>
      <x:c r="I174"/>
      <x:c r="J174"/>
      <x:c r="L174"/>
    </x:row>
    <x:row r="175">
      <x:c r="F175"/>
      <x:c r="G175"/>
      <x:c r="H175"/>
      <x:c r="I175"/>
      <x:c r="J175"/>
      <x:c r="L175"/>
    </x:row>
    <x:row r="176">
      <x:c r="F176"/>
      <x:c r="G176"/>
      <x:c r="H176"/>
      <x:c r="I176"/>
      <x:c r="J176"/>
      <x:c r="L176"/>
    </x:row>
    <x:row r="177">
      <x:c r="F177"/>
      <x:c r="G177"/>
      <x:c r="H177"/>
      <x:c r="I177"/>
      <x:c r="J177"/>
      <x:c r="L177"/>
    </x:row>
    <x:row r="178">
      <x:c r="F178"/>
      <x:c r="G178"/>
      <x:c r="H178"/>
      <x:c r="I178"/>
      <x:c r="J178"/>
      <x:c r="L178"/>
    </x:row>
    <x:row r="179">
      <x:c r="F179"/>
      <x:c r="G179"/>
      <x:c r="H179"/>
      <x:c r="I179"/>
      <x:c r="J179"/>
      <x:c r="L179"/>
    </x:row>
    <x:row r="180">
      <x:c r="F180"/>
      <x:c r="G180"/>
      <x:c r="H180"/>
      <x:c r="I180"/>
      <x:c r="J180"/>
      <x:c r="L180"/>
    </x:row>
    <x:row r="181">
      <x:c r="F181"/>
      <x:c r="G181"/>
      <x:c r="H181"/>
      <x:c r="I181"/>
      <x:c r="J181"/>
      <x:c r="L181"/>
    </x:row>
    <x:row r="182">
      <x:c r="F182"/>
      <x:c r="G182"/>
      <x:c r="H182"/>
      <x:c r="I182"/>
      <x:c r="J182"/>
      <x:c r="L182"/>
    </x:row>
    <x:row r="183">
      <x:c r="F183"/>
      <x:c r="G183"/>
      <x:c r="H183"/>
      <x:c r="I183"/>
      <x:c r="J183"/>
      <x:c r="L183"/>
    </x:row>
    <x:row r="184">
      <x:c r="F184"/>
      <x:c r="G184"/>
      <x:c r="H184"/>
      <x:c r="I184"/>
      <x:c r="J184"/>
      <x:c r="L184"/>
    </x:row>
    <x:row r="185">
      <x:c r="F185"/>
      <x:c r="G185"/>
      <x:c r="H185"/>
      <x:c r="I185"/>
      <x:c r="J185"/>
      <x:c r="L185"/>
    </x:row>
    <x:row r="186">
      <x:c r="F186"/>
      <x:c r="G186"/>
      <x:c r="H186"/>
      <x:c r="I186"/>
      <x:c r="J186"/>
      <x:c r="L186"/>
    </x:row>
    <x:row r="187">
      <x:c r="F187"/>
      <x:c r="G187"/>
      <x:c r="H187"/>
      <x:c r="I187"/>
      <x:c r="J187"/>
      <x:c r="L187"/>
    </x:row>
    <x:row r="188">
      <x:c r="F188"/>
      <x:c r="G188"/>
      <x:c r="H188"/>
      <x:c r="I188"/>
      <x:c r="J188"/>
      <x:c r="L188"/>
    </x:row>
    <x:row r="189">
      <x:c r="F189"/>
      <x:c r="G189"/>
      <x:c r="H189"/>
      <x:c r="I189"/>
      <x:c r="J189"/>
      <x:c r="L189"/>
    </x:row>
    <x:row r="190">
      <x:c r="F190"/>
      <x:c r="G190"/>
      <x:c r="H190"/>
      <x:c r="I190"/>
      <x:c r="J190"/>
      <x:c r="L190"/>
    </x:row>
    <x:row r="191">
      <x:c r="F191"/>
      <x:c r="G191"/>
      <x:c r="H191"/>
      <x:c r="I191"/>
      <x:c r="J191"/>
      <x:c r="L191"/>
    </x:row>
    <x:row r="192">
      <x:c r="F192"/>
      <x:c r="G192"/>
      <x:c r="H192"/>
      <x:c r="I192"/>
      <x:c r="J192"/>
      <x:c r="L192"/>
    </x:row>
    <x:row r="193">
      <x:c r="F193"/>
      <x:c r="G193"/>
      <x:c r="H193"/>
      <x:c r="I193"/>
      <x:c r="J193"/>
      <x:c r="L193"/>
    </x:row>
    <x:row r="194">
      <x:c r="F194"/>
      <x:c r="G194"/>
      <x:c r="H194"/>
      <x:c r="I194"/>
      <x:c r="J194"/>
      <x:c r="L194"/>
    </x:row>
    <x:row r="195">
      <x:c r="F195"/>
      <x:c r="G195"/>
      <x:c r="H195"/>
      <x:c r="I195"/>
      <x:c r="J195"/>
      <x:c r="L195"/>
    </x:row>
    <x:row r="196">
      <x:c r="F196"/>
      <x:c r="G196"/>
      <x:c r="H196"/>
      <x:c r="I196"/>
      <x:c r="J196"/>
      <x:c r="L196"/>
    </x:row>
    <x:row r="197">
      <x:c r="F197"/>
      <x:c r="G197"/>
      <x:c r="H197"/>
      <x:c r="I197"/>
      <x:c r="J197"/>
      <x:c r="L197"/>
    </x:row>
    <x:row r="198">
      <x:c r="F198"/>
      <x:c r="G198"/>
      <x:c r="H198"/>
      <x:c r="I198"/>
      <x:c r="J198"/>
      <x:c r="L198"/>
    </x:row>
    <x:row r="199">
      <x:c r="F199"/>
      <x:c r="G199"/>
      <x:c r="H199"/>
      <x:c r="I199"/>
      <x:c r="J199"/>
      <x:c r="L199"/>
    </x:row>
    <x:row r="200">
      <x:c r="F200"/>
      <x:c r="G200"/>
      <x:c r="H200"/>
      <x:c r="I200"/>
      <x:c r="J200"/>
      <x:c r="L200"/>
    </x:row>
    <x:row r="201">
      <x:c r="F201"/>
      <x:c r="G201"/>
      <x:c r="H201"/>
      <x:c r="I201"/>
      <x:c r="J201"/>
      <x:c r="L201"/>
    </x:row>
    <x:row r="202">
      <x:c r="F202"/>
      <x:c r="G202"/>
      <x:c r="H202"/>
      <x:c r="I202"/>
      <x:c r="J202"/>
      <x:c r="L202"/>
    </x:row>
    <x:row r="203">
      <x:c r="F203"/>
      <x:c r="G203"/>
      <x:c r="H203"/>
      <x:c r="I203"/>
      <x:c r="J203"/>
      <x:c r="L203"/>
    </x:row>
    <x:row r="204">
      <x:c r="F204"/>
      <x:c r="G204"/>
      <x:c r="H204"/>
      <x:c r="I204"/>
      <x:c r="J204"/>
      <x:c r="L204"/>
    </x:row>
    <x:row r="205">
      <x:c r="F205"/>
      <x:c r="G205"/>
      <x:c r="H205"/>
      <x:c r="I205"/>
      <x:c r="J205"/>
      <x:c r="L205"/>
    </x:row>
    <x:row r="206">
      <x:c r="F206"/>
      <x:c r="G206"/>
      <x:c r="H206"/>
      <x:c r="I206"/>
      <x:c r="J206"/>
      <x:c r="L206"/>
    </x:row>
    <x:row r="207">
      <x:c r="F207"/>
      <x:c r="G207"/>
      <x:c r="H207"/>
      <x:c r="I207"/>
      <x:c r="J207"/>
      <x:c r="L207"/>
    </x:row>
    <x:row r="208">
      <x:c r="F208"/>
      <x:c r="G208"/>
      <x:c r="H208"/>
      <x:c r="I208"/>
      <x:c r="J208"/>
      <x:c r="L208"/>
    </x:row>
    <x:row r="209">
      <x:c r="F209"/>
      <x:c r="G209"/>
      <x:c r="H209"/>
      <x:c r="I209"/>
      <x:c r="J209"/>
      <x:c r="L209"/>
    </x:row>
    <x:row r="210">
      <x:c r="F210"/>
      <x:c r="G210"/>
      <x:c r="H210"/>
      <x:c r="I210"/>
      <x:c r="J210"/>
      <x:c r="L210"/>
    </x:row>
    <x:row r="211">
      <x:c r="F211"/>
      <x:c r="G211"/>
      <x:c r="H211"/>
      <x:c r="I211"/>
      <x:c r="J211"/>
      <x:c r="L211"/>
    </x:row>
    <x:row r="212">
      <x:c r="F212"/>
      <x:c r="G212"/>
      <x:c r="H212"/>
      <x:c r="I212"/>
      <x:c r="J212"/>
      <x:c r="L212"/>
    </x:row>
    <x:row r="213">
      <x:c r="F213"/>
      <x:c r="G213"/>
      <x:c r="H213"/>
      <x:c r="I213"/>
      <x:c r="J213"/>
      <x:c r="L213"/>
    </x:row>
    <x:row r="214">
      <x:c r="F214"/>
      <x:c r="G214"/>
      <x:c r="H214"/>
      <x:c r="I214"/>
      <x:c r="J214"/>
      <x:c r="L214"/>
    </x:row>
    <x:row r="215">
      <x:c r="F215"/>
      <x:c r="G215"/>
      <x:c r="H215"/>
      <x:c r="I215"/>
      <x:c r="J215"/>
      <x:c r="L215"/>
    </x:row>
    <x:row r="216">
      <x:c r="F216"/>
      <x:c r="G216"/>
      <x:c r="H216"/>
      <x:c r="I216"/>
      <x:c r="J216"/>
      <x:c r="L216"/>
    </x:row>
    <x:row r="217">
      <x:c r="F217"/>
      <x:c r="G217"/>
      <x:c r="H217"/>
      <x:c r="I217"/>
      <x:c r="J217"/>
      <x:c r="L217"/>
    </x:row>
    <x:row r="218">
      <x:c r="F218"/>
      <x:c r="G218"/>
      <x:c r="H218"/>
      <x:c r="I218"/>
      <x:c r="J218"/>
      <x:c r="L218"/>
    </x:row>
    <x:row r="219">
      <x:c r="F219"/>
      <x:c r="G219"/>
      <x:c r="H219"/>
      <x:c r="I219"/>
      <x:c r="J219"/>
      <x:c r="L219"/>
    </x:row>
    <x:row r="220">
      <x:c r="F220"/>
      <x:c r="G220"/>
      <x:c r="H220"/>
      <x:c r="I220"/>
      <x:c r="J220"/>
      <x:c r="L220"/>
    </x:row>
    <x:row r="221">
      <x:c r="F221"/>
      <x:c r="G221"/>
      <x:c r="H221"/>
      <x:c r="I221"/>
      <x:c r="J221"/>
      <x:c r="L221"/>
    </x:row>
    <x:row r="222">
      <x:c r="F222"/>
      <x:c r="G222"/>
      <x:c r="H222"/>
      <x:c r="I222"/>
      <x:c r="J222"/>
      <x:c r="L222"/>
    </x:row>
    <x:row r="223">
      <x:c r="F223"/>
      <x:c r="G223"/>
      <x:c r="H223"/>
      <x:c r="I223"/>
      <x:c r="J223"/>
      <x:c r="L223"/>
    </x:row>
    <x:row r="224">
      <x:c r="F224"/>
      <x:c r="G224"/>
      <x:c r="H224"/>
      <x:c r="I224"/>
      <x:c r="J224"/>
      <x:c r="L224"/>
    </x:row>
    <x:row r="225">
      <x:c r="F225"/>
      <x:c r="G225"/>
      <x:c r="H225"/>
      <x:c r="I225"/>
      <x:c r="J225"/>
      <x:c r="L225"/>
    </x:row>
    <x:row r="226">
      <x:c r="F226"/>
      <x:c r="G226"/>
      <x:c r="H226"/>
      <x:c r="I226"/>
      <x:c r="J226"/>
      <x:c r="L226"/>
    </x:row>
    <x:row r="227">
      <x:c r="F227"/>
      <x:c r="G227"/>
      <x:c r="H227"/>
      <x:c r="I227"/>
      <x:c r="J227"/>
      <x:c r="L227"/>
    </x:row>
    <x:row r="228">
      <x:c r="F228"/>
      <x:c r="G228"/>
      <x:c r="H228"/>
      <x:c r="I228"/>
      <x:c r="J228"/>
      <x:c r="L228"/>
    </x:row>
    <x:row r="229">
      <x:c r="F229"/>
      <x:c r="G229"/>
      <x:c r="H229"/>
      <x:c r="I229"/>
      <x:c r="J229"/>
      <x:c r="L229"/>
    </x:row>
    <x:row r="230">
      <x:c r="F230"/>
      <x:c r="G230"/>
      <x:c r="H230"/>
      <x:c r="I230"/>
      <x:c r="J230"/>
      <x:c r="L230"/>
    </x:row>
    <x:row r="231">
      <x:c r="F231"/>
      <x:c r="G231"/>
      <x:c r="H231"/>
      <x:c r="I231"/>
      <x:c r="J231"/>
      <x:c r="L231"/>
    </x:row>
    <x:row r="232">
      <x:c r="F232"/>
      <x:c r="G232"/>
      <x:c r="H232"/>
      <x:c r="I232"/>
      <x:c r="J232"/>
      <x:c r="L232"/>
    </x:row>
    <x:row r="233">
      <x:c r="F233"/>
      <x:c r="G233"/>
      <x:c r="H233"/>
      <x:c r="I233"/>
      <x:c r="J233"/>
      <x:c r="L233"/>
    </x:row>
    <x:row r="234">
      <x:c r="F234"/>
      <x:c r="G234"/>
      <x:c r="H234"/>
      <x:c r="I234"/>
      <x:c r="J234"/>
      <x:c r="L234"/>
    </x:row>
    <x:row r="235">
      <x:c r="F235"/>
      <x:c r="G235"/>
      <x:c r="H235"/>
      <x:c r="I235"/>
      <x:c r="J235"/>
      <x:c r="L235"/>
    </x:row>
    <x:row r="236">
      <x:c r="F236"/>
      <x:c r="G236"/>
      <x:c r="H236"/>
      <x:c r="I236"/>
      <x:c r="J236"/>
      <x:c r="L236"/>
    </x:row>
    <x:row r="237">
      <x:c r="F237"/>
      <x:c r="G237"/>
      <x:c r="H237"/>
      <x:c r="I237"/>
      <x:c r="J237"/>
      <x:c r="L237"/>
    </x:row>
    <x:row r="238">
      <x:c r="F238"/>
      <x:c r="G238"/>
      <x:c r="H238"/>
      <x:c r="I238"/>
      <x:c r="J238"/>
      <x:c r="L238"/>
    </x:row>
    <x:row r="239">
      <x:c r="F239"/>
      <x:c r="G239"/>
      <x:c r="H239"/>
      <x:c r="I239"/>
      <x:c r="J239"/>
      <x:c r="L239"/>
    </x:row>
    <x:row r="240">
      <x:c r="F240"/>
      <x:c r="G240"/>
      <x:c r="H240"/>
      <x:c r="I240"/>
      <x:c r="J240"/>
      <x:c r="L240"/>
    </x:row>
    <x:row r="241">
      <x:c r="F241"/>
      <x:c r="G241"/>
      <x:c r="H241"/>
      <x:c r="I241"/>
      <x:c r="J241"/>
      <x:c r="L241"/>
    </x:row>
    <x:row r="242">
      <x:c r="F242"/>
      <x:c r="G242"/>
      <x:c r="H242"/>
      <x:c r="I242"/>
      <x:c r="J242"/>
      <x:c r="L242"/>
    </x:row>
    <x:row r="243">
      <x:c r="F243"/>
      <x:c r="G243"/>
      <x:c r="H243"/>
      <x:c r="I243"/>
      <x:c r="J243"/>
      <x:c r="L243"/>
    </x:row>
    <x:row r="244">
      <x:c r="F244"/>
      <x:c r="G244"/>
      <x:c r="H244"/>
      <x:c r="I244"/>
      <x:c r="J244"/>
      <x:c r="L244"/>
    </x:row>
    <x:row r="245">
      <x:c r="F245"/>
      <x:c r="G245"/>
      <x:c r="H245"/>
      <x:c r="I245"/>
      <x:c r="J245"/>
      <x:c r="L245"/>
    </x:row>
    <x:row r="246">
      <x:c r="F246"/>
      <x:c r="G246"/>
      <x:c r="H246"/>
      <x:c r="I246"/>
      <x:c r="J246"/>
      <x:c r="L246"/>
    </x:row>
    <x:row r="247">
      <x:c r="F247"/>
      <x:c r="G247"/>
      <x:c r="H247"/>
      <x:c r="I247"/>
      <x:c r="J247"/>
      <x:c r="L247"/>
    </x:row>
    <x:row r="248">
      <x:c r="F248"/>
      <x:c r="G248"/>
      <x:c r="H248"/>
      <x:c r="I248"/>
      <x:c r="J248"/>
      <x:c r="L248"/>
    </x:row>
    <x:row r="249">
      <x:c r="F249"/>
      <x:c r="G249"/>
      <x:c r="H249"/>
      <x:c r="I249"/>
      <x:c r="J249"/>
      <x:c r="L249"/>
    </x:row>
    <x:row r="250">
      <x:c r="F250"/>
      <x:c r="G250"/>
      <x:c r="H250"/>
      <x:c r="I250"/>
      <x:c r="J250"/>
      <x:c r="L250"/>
    </x:row>
    <x:row r="251">
      <x:c r="F251"/>
      <x:c r="G251"/>
      <x:c r="H251"/>
      <x:c r="I251"/>
      <x:c r="J251"/>
      <x:c r="L251"/>
    </x:row>
    <x:row r="252">
      <x:c r="F252"/>
      <x:c r="G252"/>
      <x:c r="H252"/>
      <x:c r="I252"/>
      <x:c r="J252"/>
      <x:c r="L252"/>
    </x:row>
    <x:row r="253">
      <x:c r="F253"/>
      <x:c r="G253"/>
      <x:c r="H253"/>
      <x:c r="I253"/>
      <x:c r="J253"/>
      <x:c r="L253"/>
    </x:row>
    <x:row r="254">
      <x:c r="F254"/>
      <x:c r="G254"/>
      <x:c r="H254"/>
      <x:c r="I254"/>
      <x:c r="J254"/>
      <x:c r="L254"/>
    </x:row>
    <x:row r="255">
      <x:c r="F255"/>
      <x:c r="G255"/>
      <x:c r="H255"/>
      <x:c r="I255"/>
      <x:c r="J255"/>
      <x:c r="L255"/>
    </x:row>
    <x:row r="256">
      <x:c r="F256"/>
      <x:c r="G256"/>
      <x:c r="H256"/>
      <x:c r="I256"/>
      <x:c r="J256"/>
      <x:c r="L256"/>
    </x:row>
    <x:row r="257">
      <x:c r="F257"/>
      <x:c r="G257"/>
      <x:c r="H257"/>
      <x:c r="I257"/>
      <x:c r="J257"/>
      <x:c r="L257"/>
    </x:row>
    <x:row r="258">
      <x:c r="F258"/>
      <x:c r="G258"/>
      <x:c r="H258"/>
      <x:c r="I258"/>
      <x:c r="J258"/>
      <x:c r="L258"/>
    </x:row>
    <x:row r="259">
      <x:c r="F259"/>
      <x:c r="G259"/>
      <x:c r="H259"/>
      <x:c r="I259"/>
      <x:c r="J259"/>
      <x:c r="L259"/>
    </x:row>
    <x:row r="260">
      <x:c r="F260"/>
      <x:c r="G260"/>
      <x:c r="H260"/>
      <x:c r="I260"/>
      <x:c r="J260"/>
      <x:c r="L260"/>
    </x:row>
    <x:row r="261">
      <x:c r="F261"/>
      <x:c r="G261"/>
      <x:c r="H261"/>
      <x:c r="I261"/>
      <x:c r="J261"/>
      <x:c r="L261"/>
    </x:row>
    <x:row r="262">
      <x:c r="F262"/>
      <x:c r="G262"/>
      <x:c r="H262"/>
      <x:c r="I262"/>
      <x:c r="J262"/>
      <x:c r="L262"/>
    </x:row>
    <x:row r="263">
      <x:c r="F263"/>
      <x:c r="G263"/>
      <x:c r="H263"/>
      <x:c r="I263"/>
      <x:c r="J263"/>
      <x:c r="L263"/>
    </x:row>
    <x:row r="264">
      <x:c r="F264"/>
      <x:c r="G264"/>
      <x:c r="H264"/>
      <x:c r="I264"/>
      <x:c r="J264"/>
      <x:c r="L264"/>
    </x:row>
    <x:row r="265">
      <x:c r="F265"/>
      <x:c r="G265"/>
      <x:c r="H265"/>
      <x:c r="I265"/>
      <x:c r="J265"/>
      <x:c r="L265"/>
    </x:row>
    <x:row r="266">
      <x:c r="F266"/>
      <x:c r="G266"/>
      <x:c r="H266"/>
      <x:c r="I266"/>
      <x:c r="J266"/>
      <x:c r="L266"/>
    </x:row>
    <x:row r="267">
      <x:c r="F267"/>
      <x:c r="G267"/>
      <x:c r="H267"/>
      <x:c r="I267"/>
      <x:c r="J267"/>
      <x:c r="L267"/>
    </x:row>
    <x:row r="268">
      <x:c r="F268"/>
      <x:c r="G268"/>
      <x:c r="H268"/>
      <x:c r="I268"/>
      <x:c r="J268"/>
      <x:c r="L268"/>
    </x:row>
    <x:row r="269">
      <x:c r="F269"/>
      <x:c r="G269"/>
      <x:c r="H269"/>
      <x:c r="I269"/>
      <x:c r="J269"/>
      <x:c r="L269"/>
    </x:row>
    <x:row r="270">
      <x:c r="F270"/>
      <x:c r="G270"/>
      <x:c r="H270"/>
      <x:c r="I270"/>
      <x:c r="J270"/>
      <x:c r="L270"/>
    </x:row>
    <x:row r="271">
      <x:c r="F271"/>
      <x:c r="G271"/>
      <x:c r="H271"/>
      <x:c r="I271"/>
      <x:c r="J271"/>
      <x:c r="L271"/>
    </x:row>
    <x:row r="272">
      <x:c r="F272"/>
      <x:c r="G272"/>
      <x:c r="H272"/>
      <x:c r="I272"/>
      <x:c r="J272"/>
      <x:c r="L272"/>
    </x:row>
    <x:row r="273">
      <x:c r="F273"/>
      <x:c r="G273"/>
      <x:c r="H273"/>
      <x:c r="I273"/>
      <x:c r="J273"/>
      <x:c r="L273"/>
    </x:row>
    <x:row r="274">
      <x:c r="F274"/>
      <x:c r="G274"/>
      <x:c r="H274"/>
      <x:c r="I274"/>
      <x:c r="J274"/>
      <x:c r="L274"/>
    </x:row>
    <x:row r="275">
      <x:c r="F275"/>
      <x:c r="G275"/>
      <x:c r="H275"/>
      <x:c r="I275"/>
      <x:c r="J275"/>
      <x:c r="L275"/>
    </x:row>
    <x:row r="276">
      <x:c r="F276"/>
      <x:c r="G276"/>
      <x:c r="H276"/>
      <x:c r="I276"/>
      <x:c r="J276"/>
      <x:c r="L276"/>
    </x:row>
    <x:row r="277">
      <x:c r="F277"/>
      <x:c r="G277"/>
      <x:c r="H277"/>
      <x:c r="I277"/>
      <x:c r="J277"/>
      <x:c r="L277"/>
    </x:row>
    <x:row r="278">
      <x:c r="F278"/>
      <x:c r="G278"/>
      <x:c r="H278"/>
      <x:c r="I278"/>
      <x:c r="J278"/>
      <x:c r="L278"/>
    </x:row>
    <x:row r="279">
      <x:c r="F279"/>
      <x:c r="G279"/>
      <x:c r="H279"/>
      <x:c r="I279"/>
      <x:c r="J279"/>
      <x:c r="L279"/>
    </x:row>
    <x:row r="280">
      <x:c r="F280"/>
      <x:c r="G280"/>
      <x:c r="H280"/>
      <x:c r="I280"/>
      <x:c r="J280"/>
      <x:c r="L280"/>
    </x:row>
    <x:row r="281">
      <x:c r="F281"/>
      <x:c r="G281"/>
      <x:c r="H281"/>
      <x:c r="I281"/>
      <x:c r="J281"/>
      <x:c r="L281"/>
    </x:row>
    <x:row r="282">
      <x:c r="F282"/>
      <x:c r="G282"/>
      <x:c r="H282"/>
      <x:c r="I282"/>
      <x:c r="J282"/>
      <x:c r="L282"/>
    </x:row>
    <x:row r="283">
      <x:c r="F283"/>
      <x:c r="G283"/>
      <x:c r="H283"/>
      <x:c r="I283"/>
      <x:c r="J283"/>
      <x:c r="L283"/>
    </x:row>
    <x:row r="284">
      <x:c r="F284"/>
      <x:c r="G284"/>
      <x:c r="H284"/>
      <x:c r="I284"/>
      <x:c r="J284"/>
      <x:c r="L284"/>
    </x:row>
    <x:row r="285">
      <x:c r="F285"/>
      <x:c r="G285"/>
      <x:c r="H285"/>
      <x:c r="I285"/>
      <x:c r="J285"/>
      <x:c r="L285"/>
    </x:row>
    <x:row r="286">
      <x:c r="F286"/>
      <x:c r="G286"/>
      <x:c r="H286"/>
      <x:c r="I286"/>
      <x:c r="J286"/>
      <x:c r="L286"/>
    </x:row>
    <x:row r="287">
      <x:c r="F287"/>
      <x:c r="G287"/>
      <x:c r="H287"/>
      <x:c r="I287"/>
      <x:c r="J287"/>
      <x:c r="L287"/>
    </x:row>
    <x:row r="288">
      <x:c r="F288"/>
      <x:c r="G288"/>
      <x:c r="H288"/>
      <x:c r="I288"/>
      <x:c r="J288"/>
      <x:c r="L288"/>
    </x:row>
    <x:row r="289">
      <x:c r="F289"/>
      <x:c r="G289"/>
      <x:c r="H289"/>
      <x:c r="I289"/>
      <x:c r="J289"/>
      <x:c r="L289"/>
    </x:row>
    <x:row r="290">
      <x:c r="F290"/>
      <x:c r="G290"/>
      <x:c r="H290"/>
      <x:c r="I290"/>
      <x:c r="J290"/>
      <x:c r="L290"/>
    </x:row>
    <x:row r="291">
      <x:c r="F291"/>
      <x:c r="G291"/>
      <x:c r="H291"/>
      <x:c r="I291"/>
      <x:c r="J291"/>
      <x:c r="L291"/>
    </x:row>
    <x:row r="292">
      <x:c r="F292"/>
      <x:c r="G292"/>
      <x:c r="H292"/>
      <x:c r="I292"/>
      <x:c r="J292"/>
      <x:c r="L292"/>
    </x:row>
    <x:row r="293">
      <x:c r="F293"/>
      <x:c r="G293"/>
      <x:c r="H293"/>
      <x:c r="I293"/>
      <x:c r="J293"/>
      <x:c r="L293"/>
    </x:row>
    <x:row r="294">
      <x:c r="F294"/>
      <x:c r="G294"/>
      <x:c r="H294"/>
      <x:c r="I294"/>
      <x:c r="J294"/>
      <x:c r="L294"/>
    </x:row>
    <x:row r="295">
      <x:c r="F295"/>
      <x:c r="G295"/>
      <x:c r="H295"/>
      <x:c r="I295"/>
      <x:c r="J295"/>
      <x:c r="L295"/>
    </x:row>
    <x:row r="296">
      <x:c r="F296"/>
      <x:c r="G296"/>
      <x:c r="H296"/>
      <x:c r="I296"/>
      <x:c r="J296"/>
      <x:c r="L296"/>
    </x:row>
    <x:row r="297">
      <x:c r="F297"/>
      <x:c r="G297"/>
      <x:c r="H297"/>
      <x:c r="I297"/>
      <x:c r="J297"/>
      <x:c r="L297"/>
    </x:row>
    <x:row r="298">
      <x:c r="F298"/>
      <x:c r="G298"/>
      <x:c r="H298"/>
      <x:c r="I298"/>
      <x:c r="J298"/>
      <x:c r="L298"/>
    </x:row>
    <x:row r="299">
      <x:c r="F299"/>
      <x:c r="G299"/>
      <x:c r="H299"/>
      <x:c r="I299"/>
      <x:c r="J299"/>
      <x:c r="L299"/>
    </x:row>
    <x:row r="300">
      <x:c r="F300"/>
      <x:c r="G300"/>
      <x:c r="H300"/>
      <x:c r="I300"/>
      <x:c r="J300"/>
      <x:c r="L300"/>
    </x:row>
    <x:row r="301">
      <x:c r="F301"/>
      <x:c r="G301"/>
      <x:c r="H301"/>
      <x:c r="I301"/>
      <x:c r="J301"/>
      <x:c r="L301"/>
    </x:row>
    <x:row r="302">
      <x:c r="F302"/>
      <x:c r="G302"/>
      <x:c r="H302"/>
      <x:c r="I302"/>
      <x:c r="J302"/>
      <x:c r="L302"/>
    </x:row>
    <x:row r="303">
      <x:c r="F303"/>
      <x:c r="G303"/>
      <x:c r="H303"/>
      <x:c r="I303"/>
      <x:c r="J303"/>
      <x:c r="L303"/>
    </x:row>
    <x:row r="304">
      <x:c r="F304"/>
      <x:c r="G304"/>
      <x:c r="H304"/>
      <x:c r="I304"/>
      <x:c r="J304"/>
      <x:c r="L304"/>
    </x:row>
    <x:row r="305">
      <x:c r="F305"/>
      <x:c r="G305"/>
      <x:c r="H305"/>
      <x:c r="I305"/>
      <x:c r="J305"/>
      <x:c r="L305"/>
    </x:row>
    <x:row r="306">
      <x:c r="F306"/>
      <x:c r="G306"/>
      <x:c r="H306"/>
      <x:c r="I306"/>
      <x:c r="J306"/>
      <x:c r="L306"/>
    </x:row>
    <x:row r="307">
      <x:c r="F307"/>
      <x:c r="G307"/>
      <x:c r="H307"/>
      <x:c r="I307"/>
      <x:c r="J307"/>
      <x:c r="L307"/>
    </x:row>
    <x:row r="308">
      <x:c r="F308"/>
      <x:c r="G308"/>
      <x:c r="H308"/>
      <x:c r="I308"/>
      <x:c r="J308"/>
      <x:c r="L308"/>
    </x:row>
    <x:row r="309">
      <x:c r="F309"/>
      <x:c r="G309"/>
      <x:c r="H309"/>
      <x:c r="I309"/>
      <x:c r="J309"/>
      <x:c r="L309"/>
    </x:row>
    <x:row r="310">
      <x:c r="F310"/>
      <x:c r="G310"/>
      <x:c r="H310"/>
      <x:c r="I310"/>
      <x:c r="J310"/>
      <x:c r="L310"/>
    </x:row>
    <x:row r="311">
      <x:c r="F311"/>
      <x:c r="G311"/>
      <x:c r="H311"/>
      <x:c r="I311"/>
      <x:c r="J311"/>
      <x:c r="L311"/>
    </x:row>
    <x:row r="312">
      <x:c r="F312"/>
      <x:c r="G312"/>
      <x:c r="H312"/>
      <x:c r="I312"/>
      <x:c r="J312"/>
      <x:c r="L312"/>
    </x:row>
    <x:row r="313">
      <x:c r="F313"/>
      <x:c r="G313"/>
      <x:c r="H313"/>
      <x:c r="I313"/>
      <x:c r="J313"/>
      <x:c r="L313"/>
    </x:row>
    <x:row r="314">
      <x:c r="F314"/>
      <x:c r="G314"/>
      <x:c r="H314"/>
      <x:c r="I314"/>
      <x:c r="J314"/>
      <x:c r="L314"/>
    </x:row>
    <x:row r="315">
      <x:c r="F315"/>
      <x:c r="G315"/>
      <x:c r="H315"/>
      <x:c r="I315"/>
      <x:c r="J315"/>
      <x:c r="L315"/>
    </x:row>
    <x:row r="316">
      <x:c r="F316"/>
      <x:c r="G316"/>
      <x:c r="H316"/>
      <x:c r="I316"/>
      <x:c r="J316"/>
      <x:c r="L316"/>
    </x:row>
    <x:row r="317">
      <x:c r="F317"/>
      <x:c r="G317"/>
      <x:c r="H317"/>
      <x:c r="I317"/>
      <x:c r="J317"/>
      <x:c r="L317"/>
    </x:row>
    <x:row r="318">
      <x:c r="F318"/>
      <x:c r="G318"/>
      <x:c r="H318"/>
      <x:c r="I318"/>
      <x:c r="J318"/>
      <x:c r="L318"/>
    </x:row>
    <x:row r="319">
      <x:c r="F319"/>
      <x:c r="G319"/>
      <x:c r="H319"/>
      <x:c r="I319"/>
      <x:c r="J319"/>
      <x:c r="L319"/>
    </x:row>
    <x:row r="320">
      <x:c r="F320"/>
      <x:c r="G320"/>
      <x:c r="H320"/>
      <x:c r="I320"/>
      <x:c r="J320"/>
      <x:c r="L320"/>
    </x:row>
    <x:row r="321">
      <x:c r="F321"/>
      <x:c r="G321"/>
      <x:c r="H321"/>
      <x:c r="I321"/>
      <x:c r="J321"/>
      <x:c r="L321"/>
    </x:row>
    <x:row r="322">
      <x:c r="F322"/>
      <x:c r="G322"/>
      <x:c r="H322"/>
      <x:c r="I322"/>
      <x:c r="J322"/>
      <x:c r="L322"/>
    </x:row>
    <x:row r="323">
      <x:c r="F323"/>
      <x:c r="G323"/>
      <x:c r="H323"/>
      <x:c r="I323"/>
      <x:c r="J323"/>
      <x:c r="L323"/>
    </x:row>
    <x:row r="324">
      <x:c r="F324"/>
      <x:c r="G324"/>
      <x:c r="H324"/>
      <x:c r="I324"/>
      <x:c r="J324"/>
      <x:c r="L324"/>
    </x:row>
    <x:row r="325">
      <x:c r="F325"/>
      <x:c r="G325"/>
      <x:c r="H325"/>
      <x:c r="I325"/>
      <x:c r="J325"/>
      <x:c r="L325"/>
    </x:row>
    <x:row r="326">
      <x:c r="F326"/>
      <x:c r="G326"/>
      <x:c r="H326"/>
      <x:c r="I326"/>
      <x:c r="J326"/>
      <x:c r="L326"/>
    </x:row>
    <x:row r="327">
      <x:c r="F327"/>
      <x:c r="G327"/>
      <x:c r="H327"/>
      <x:c r="I327"/>
      <x:c r="J327"/>
      <x:c r="L327"/>
    </x:row>
    <x:row r="328">
      <x:c r="F328"/>
      <x:c r="G328"/>
      <x:c r="H328"/>
      <x:c r="I328"/>
      <x:c r="J328"/>
      <x:c r="L328"/>
    </x:row>
    <x:row r="329">
      <x:c r="F329"/>
      <x:c r="G329"/>
      <x:c r="H329"/>
      <x:c r="I329"/>
      <x:c r="J329"/>
      <x:c r="L329"/>
    </x:row>
    <x:row r="330">
      <x:c r="F330"/>
      <x:c r="G330"/>
      <x:c r="H330"/>
      <x:c r="I330"/>
      <x:c r="J330"/>
      <x:c r="L330"/>
    </x:row>
    <x:row r="331">
      <x:c r="F331"/>
      <x:c r="G331"/>
      <x:c r="H331"/>
      <x:c r="I331"/>
      <x:c r="J331"/>
      <x:c r="L331"/>
    </x:row>
    <x:row r="332">
      <x:c r="F332"/>
      <x:c r="G332"/>
      <x:c r="H332"/>
      <x:c r="I332"/>
      <x:c r="J332"/>
      <x:c r="L332"/>
    </x:row>
    <x:row r="333">
      <x:c r="F333"/>
      <x:c r="G333"/>
      <x:c r="H333"/>
      <x:c r="I333"/>
      <x:c r="J333"/>
      <x:c r="L333"/>
    </x:row>
    <x:row r="334">
      <x:c r="F334"/>
      <x:c r="G334"/>
      <x:c r="H334"/>
      <x:c r="I334"/>
      <x:c r="J334"/>
      <x:c r="L334"/>
    </x:row>
    <x:row r="335">
      <x:c r="F335"/>
      <x:c r="G335"/>
      <x:c r="H335"/>
      <x:c r="I335"/>
      <x:c r="J335"/>
      <x:c r="L335"/>
    </x:row>
    <x:row r="336">
      <x:c r="F336"/>
      <x:c r="G336"/>
      <x:c r="H336"/>
      <x:c r="I336"/>
      <x:c r="J336"/>
      <x:c r="L336"/>
    </x:row>
    <x:row r="337">
      <x:c r="F337"/>
      <x:c r="G337"/>
      <x:c r="H337"/>
      <x:c r="I337"/>
      <x:c r="J337"/>
      <x:c r="L337"/>
    </x:row>
    <x:row r="338">
      <x:c r="F338"/>
      <x:c r="G338"/>
      <x:c r="H338"/>
      <x:c r="I338"/>
      <x:c r="J338"/>
      <x:c r="L338"/>
    </x:row>
    <x:row r="339">
      <x:c r="F339"/>
      <x:c r="G339"/>
      <x:c r="H339"/>
      <x:c r="I339"/>
      <x:c r="J339"/>
      <x:c r="L339"/>
    </x:row>
    <x:row r="340">
      <x:c r="F340"/>
      <x:c r="G340"/>
      <x:c r="H340"/>
      <x:c r="I340"/>
      <x:c r="J340"/>
      <x:c r="L340"/>
    </x:row>
    <x:row r="341">
      <x:c r="F341"/>
      <x:c r="G341"/>
      <x:c r="H341"/>
      <x:c r="I341"/>
      <x:c r="J341"/>
      <x:c r="L341"/>
    </x:row>
    <x:row r="342">
      <x:c r="F342"/>
      <x:c r="G342"/>
      <x:c r="H342"/>
      <x:c r="I342"/>
      <x:c r="J342"/>
      <x:c r="L342"/>
    </x:row>
    <x:row r="343">
      <x:c r="F343"/>
      <x:c r="G343"/>
      <x:c r="H343"/>
      <x:c r="I343"/>
      <x:c r="J343"/>
      <x:c r="L343"/>
    </x:row>
    <x:row r="344">
      <x:c r="F344"/>
      <x:c r="G344"/>
      <x:c r="H344"/>
      <x:c r="I344"/>
      <x:c r="J344"/>
      <x:c r="L344"/>
    </x:row>
    <x:row r="345">
      <x:c r="F345"/>
      <x:c r="G345"/>
      <x:c r="H345"/>
      <x:c r="I345"/>
      <x:c r="J345"/>
      <x:c r="L345"/>
    </x:row>
    <x:row r="346">
      <x:c r="F346"/>
      <x:c r="G346"/>
      <x:c r="H346"/>
      <x:c r="I346"/>
      <x:c r="J346"/>
      <x:c r="L346"/>
    </x:row>
    <x:row r="347">
      <x:c r="F347"/>
      <x:c r="G347"/>
      <x:c r="H347"/>
      <x:c r="I347"/>
      <x:c r="J347"/>
      <x:c r="L347"/>
    </x:row>
    <x:row r="348">
      <x:c r="F348"/>
      <x:c r="G348"/>
      <x:c r="H348"/>
      <x:c r="I348"/>
      <x:c r="J348"/>
      <x:c r="L348"/>
    </x:row>
    <x:row r="349">
      <x:c r="F349"/>
      <x:c r="G349"/>
      <x:c r="H349"/>
      <x:c r="I349"/>
      <x:c r="J349"/>
      <x:c r="L349"/>
    </x:row>
    <x:row r="350">
      <x:c r="F350"/>
      <x:c r="G350"/>
      <x:c r="H350"/>
      <x:c r="I350"/>
      <x:c r="J350"/>
      <x:c r="L350"/>
    </x:row>
    <x:row r="351">
      <x:c r="F351"/>
      <x:c r="G351"/>
      <x:c r="H351"/>
      <x:c r="I351"/>
      <x:c r="J351"/>
      <x:c r="L351"/>
    </x:row>
    <x:row r="352">
      <x:c r="F352"/>
      <x:c r="G352"/>
      <x:c r="H352"/>
      <x:c r="I352"/>
      <x:c r="J352"/>
      <x:c r="L352"/>
    </x:row>
    <x:row r="353">
      <x:c r="F353"/>
      <x:c r="G353"/>
      <x:c r="H353"/>
      <x:c r="I353"/>
      <x:c r="J353"/>
      <x:c r="L353"/>
    </x:row>
    <x:row r="354">
      <x:c r="F354"/>
      <x:c r="G354"/>
      <x:c r="H354"/>
      <x:c r="I354"/>
      <x:c r="J354"/>
      <x:c r="L354"/>
    </x:row>
    <x:row r="355">
      <x:c r="F355"/>
      <x:c r="G355"/>
      <x:c r="H355"/>
      <x:c r="I355"/>
      <x:c r="J355"/>
      <x:c r="L355"/>
    </x:row>
    <x:row r="356">
      <x:c r="F356"/>
      <x:c r="G356"/>
      <x:c r="H356"/>
      <x:c r="I356"/>
      <x:c r="J356"/>
      <x:c r="L356"/>
    </x:row>
    <x:row r="357">
      <x:c r="F357"/>
      <x:c r="G357"/>
      <x:c r="H357"/>
      <x:c r="I357"/>
      <x:c r="J357"/>
      <x:c r="L357"/>
    </x:row>
    <x:row r="358">
      <x:c r="F358"/>
      <x:c r="G358"/>
      <x:c r="H358"/>
      <x:c r="I358"/>
      <x:c r="J358"/>
      <x:c r="L358"/>
    </x:row>
    <x:row r="359">
      <x:c r="F359"/>
      <x:c r="G359"/>
      <x:c r="H359"/>
      <x:c r="I359"/>
      <x:c r="J359"/>
      <x:c r="L359"/>
    </x:row>
    <x:row r="360">
      <x:c r="F360"/>
      <x:c r="G360"/>
      <x:c r="H360"/>
      <x:c r="I360"/>
      <x:c r="J360"/>
      <x:c r="L360"/>
    </x:row>
    <x:row r="361">
      <x:c r="F361"/>
      <x:c r="G361"/>
      <x:c r="H361"/>
      <x:c r="I361"/>
      <x:c r="J361"/>
      <x:c r="L361"/>
    </x:row>
    <x:row r="362">
      <x:c r="F362"/>
      <x:c r="G362"/>
      <x:c r="H362"/>
      <x:c r="I362"/>
      <x:c r="J362"/>
      <x:c r="L362"/>
    </x:row>
    <x:row r="363">
      <x:c r="F363"/>
      <x:c r="G363"/>
      <x:c r="H363"/>
      <x:c r="I363"/>
      <x:c r="J363"/>
      <x:c r="L363"/>
    </x:row>
    <x:row r="364">
      <x:c r="F364"/>
      <x:c r="G364"/>
      <x:c r="H364"/>
      <x:c r="I364"/>
      <x:c r="J364"/>
      <x:c r="L364"/>
    </x:row>
    <x:row r="365">
      <x:c r="F365"/>
      <x:c r="G365"/>
      <x:c r="H365"/>
      <x:c r="I365"/>
      <x:c r="J365"/>
      <x:c r="L365"/>
    </x:row>
    <x:row r="366">
      <x:c r="F366"/>
      <x:c r="G366"/>
      <x:c r="H366"/>
      <x:c r="I366"/>
      <x:c r="J366"/>
      <x:c r="L366"/>
    </x:row>
    <x:row r="367">
      <x:c r="F367"/>
      <x:c r="G367"/>
      <x:c r="H367"/>
      <x:c r="I367"/>
      <x:c r="J367"/>
      <x:c r="L367"/>
    </x:row>
    <x:row r="368">
      <x:c r="F368"/>
      <x:c r="G368"/>
      <x:c r="H368"/>
      <x:c r="I368"/>
      <x:c r="J368"/>
      <x:c r="L368"/>
    </x:row>
    <x:row r="369">
      <x:c r="F369"/>
      <x:c r="G369"/>
      <x:c r="H369"/>
      <x:c r="I369"/>
      <x:c r="J369"/>
      <x:c r="L369"/>
    </x:row>
    <x:row r="370">
      <x:c r="F370"/>
      <x:c r="G370"/>
      <x:c r="H370"/>
      <x:c r="I370"/>
      <x:c r="J370"/>
      <x:c r="L370"/>
    </x:row>
    <x:row r="371">
      <x:c r="F371"/>
      <x:c r="G371"/>
      <x:c r="H371"/>
      <x:c r="I371"/>
      <x:c r="J371"/>
      <x:c r="L371"/>
    </x:row>
    <x:row r="372">
      <x:c r="F372"/>
      <x:c r="G372"/>
      <x:c r="H372"/>
      <x:c r="I372"/>
      <x:c r="J372"/>
      <x:c r="L372"/>
    </x:row>
    <x:row r="373">
      <x:c r="F373"/>
      <x:c r="G373"/>
      <x:c r="H373"/>
      <x:c r="I373"/>
      <x:c r="J373"/>
      <x:c r="L373"/>
    </x:row>
    <x:row r="374">
      <x:c r="F374"/>
      <x:c r="G374"/>
      <x:c r="H374"/>
      <x:c r="I374"/>
      <x:c r="J374"/>
      <x:c r="L374"/>
    </x:row>
    <x:row r="375">
      <x:c r="F375"/>
      <x:c r="G375"/>
      <x:c r="H375"/>
      <x:c r="I375"/>
      <x:c r="J375"/>
      <x:c r="L375"/>
    </x:row>
    <x:row r="376">
      <x:c r="F376"/>
      <x:c r="G376"/>
      <x:c r="H376"/>
      <x:c r="I376"/>
      <x:c r="J376"/>
      <x:c r="L376"/>
    </x:row>
    <x:row r="377">
      <x:c r="F377"/>
      <x:c r="G377"/>
      <x:c r="H377"/>
      <x:c r="I377"/>
      <x:c r="J377"/>
      <x:c r="L377"/>
    </x:row>
    <x:row r="378">
      <x:c r="F378"/>
      <x:c r="G378"/>
      <x:c r="H378"/>
      <x:c r="I378"/>
      <x:c r="J378"/>
      <x:c r="L378"/>
    </x:row>
    <x:row r="379">
      <x:c r="F379"/>
      <x:c r="G379"/>
      <x:c r="H379"/>
      <x:c r="I379"/>
      <x:c r="J379"/>
      <x:c r="L379"/>
    </x:row>
    <x:row r="380">
      <x:c r="F380"/>
      <x:c r="G380"/>
      <x:c r="H380"/>
      <x:c r="I380"/>
      <x:c r="J380"/>
      <x:c r="L380"/>
    </x:row>
    <x:row r="381">
      <x:c r="F381"/>
      <x:c r="G381"/>
      <x:c r="H381"/>
      <x:c r="I381"/>
      <x:c r="J381"/>
      <x:c r="L381"/>
    </x:row>
    <x:row r="382">
      <x:c r="F382"/>
      <x:c r="G382"/>
      <x:c r="H382"/>
      <x:c r="I382"/>
      <x:c r="J382"/>
      <x:c r="L382"/>
    </x:row>
    <x:row r="383">
      <x:c r="F383"/>
      <x:c r="G383"/>
      <x:c r="H383"/>
      <x:c r="I383"/>
      <x:c r="J383"/>
      <x:c r="L383"/>
    </x:row>
    <x:row r="384">
      <x:c r="F384"/>
      <x:c r="G384"/>
      <x:c r="H384"/>
      <x:c r="I384"/>
      <x:c r="J384"/>
      <x:c r="L384"/>
    </x:row>
    <x:row r="385">
      <x:c r="F385"/>
      <x:c r="G385"/>
      <x:c r="H385"/>
      <x:c r="I385"/>
      <x:c r="J385"/>
      <x:c r="L385"/>
    </x:row>
    <x:row r="386">
      <x:c r="F386"/>
      <x:c r="G386"/>
      <x:c r="H386"/>
      <x:c r="I386"/>
      <x:c r="J386"/>
      <x:c r="L386"/>
    </x:row>
    <x:row r="387">
      <x:c r="F387"/>
      <x:c r="G387"/>
      <x:c r="H387"/>
      <x:c r="I387"/>
      <x:c r="J387"/>
      <x:c r="L387"/>
    </x:row>
    <x:row r="388">
      <x:c r="F388"/>
      <x:c r="G388"/>
      <x:c r="H388"/>
      <x:c r="I388"/>
      <x:c r="J388"/>
      <x:c r="L388"/>
    </x:row>
    <x:row r="389">
      <x:c r="F389"/>
      <x:c r="G389"/>
      <x:c r="H389"/>
      <x:c r="I389"/>
      <x:c r="J389"/>
      <x:c r="L389"/>
    </x:row>
    <x:row r="390">
      <x:c r="F390"/>
      <x:c r="G390"/>
      <x:c r="H390"/>
      <x:c r="I390"/>
      <x:c r="J390"/>
      <x:c r="L390"/>
    </x:row>
    <x:row r="391">
      <x:c r="F391"/>
      <x:c r="G391"/>
      <x:c r="H391"/>
      <x:c r="I391"/>
      <x:c r="J391"/>
      <x:c r="L391"/>
    </x:row>
    <x:row r="392">
      <x:c r="F392"/>
      <x:c r="G392"/>
      <x:c r="H392"/>
      <x:c r="I392"/>
      <x:c r="J392"/>
      <x:c r="L392"/>
    </x:row>
    <x:row r="393">
      <x:c r="F393"/>
      <x:c r="G393"/>
      <x:c r="H393"/>
      <x:c r="I393"/>
      <x:c r="J393"/>
      <x:c r="L393"/>
    </x:row>
    <x:row r="394">
      <x:c r="F394"/>
      <x:c r="G394"/>
      <x:c r="H394"/>
      <x:c r="I394"/>
      <x:c r="J394"/>
      <x:c r="L394"/>
    </x:row>
    <x:row r="395">
      <x:c r="F395"/>
      <x:c r="G395"/>
      <x:c r="H395"/>
      <x:c r="I395"/>
      <x:c r="J395"/>
      <x:c r="L395"/>
    </x:row>
    <x:row r="396">
      <x:c r="F396"/>
      <x:c r="G396"/>
      <x:c r="H396"/>
      <x:c r="I396"/>
      <x:c r="J396"/>
      <x:c r="L396"/>
    </x:row>
    <x:row r="397">
      <x:c r="F397"/>
      <x:c r="G397"/>
      <x:c r="H397"/>
      <x:c r="I397"/>
      <x:c r="J397"/>
      <x:c r="L397"/>
    </x:row>
    <x:row r="398">
      <x:c r="F398"/>
      <x:c r="G398"/>
      <x:c r="H398"/>
      <x:c r="I398"/>
      <x:c r="J398"/>
      <x:c r="L398"/>
    </x:row>
    <x:row r="399">
      <x:c r="F399"/>
      <x:c r="G399"/>
      <x:c r="H399"/>
      <x:c r="I399"/>
      <x:c r="J399"/>
      <x:c r="L399"/>
    </x:row>
    <x:row r="400">
      <x:c r="F400"/>
      <x:c r="G400"/>
      <x:c r="H400"/>
      <x:c r="I400"/>
      <x:c r="J400"/>
      <x:c r="L400"/>
    </x:row>
    <x:row r="401">
      <x:c r="F401"/>
      <x:c r="G401"/>
      <x:c r="H401"/>
      <x:c r="I401"/>
      <x:c r="J401"/>
      <x:c r="L401"/>
    </x:row>
    <x:row r="402">
      <x:c r="F402"/>
      <x:c r="G402"/>
      <x:c r="H402"/>
      <x:c r="I402"/>
      <x:c r="J402"/>
      <x:c r="L402"/>
    </x:row>
    <x:row r="403">
      <x:c r="F403"/>
      <x:c r="G403"/>
      <x:c r="H403"/>
      <x:c r="I403"/>
      <x:c r="J403"/>
      <x:c r="L403"/>
    </x:row>
    <x:row r="404">
      <x:c r="F404"/>
      <x:c r="G404"/>
      <x:c r="H404"/>
      <x:c r="I404"/>
      <x:c r="J404"/>
      <x:c r="L404"/>
    </x:row>
    <x:row r="405">
      <x:c r="F405"/>
      <x:c r="G405"/>
      <x:c r="H405"/>
      <x:c r="I405"/>
      <x:c r="J405"/>
      <x:c r="L405"/>
    </x:row>
    <x:row r="406">
      <x:c r="F406"/>
      <x:c r="G406"/>
      <x:c r="H406"/>
      <x:c r="I406"/>
      <x:c r="J406"/>
      <x:c r="L406"/>
    </x:row>
    <x:row r="407">
      <x:c r="F407"/>
      <x:c r="G407"/>
      <x:c r="H407"/>
      <x:c r="I407"/>
      <x:c r="J407"/>
      <x:c r="L407"/>
    </x:row>
    <x:row r="408">
      <x:c r="F408"/>
      <x:c r="G408"/>
      <x:c r="H408"/>
      <x:c r="I408"/>
      <x:c r="J408"/>
      <x:c r="L408"/>
    </x:row>
    <x:row r="409">
      <x:c r="F409"/>
      <x:c r="G409"/>
      <x:c r="H409"/>
      <x:c r="I409"/>
      <x:c r="J409"/>
      <x:c r="L409"/>
    </x:row>
    <x:row r="410">
      <x:c r="F410"/>
      <x:c r="G410"/>
      <x:c r="H410"/>
      <x:c r="I410"/>
      <x:c r="J410"/>
      <x:c r="L410"/>
    </x:row>
    <x:row r="411">
      <x:c r="F411"/>
      <x:c r="G411"/>
      <x:c r="H411"/>
      <x:c r="I411"/>
      <x:c r="J411"/>
      <x:c r="L411"/>
    </x:row>
    <x:row r="412">
      <x:c r="F412"/>
      <x:c r="G412"/>
      <x:c r="H412"/>
      <x:c r="I412"/>
      <x:c r="J412"/>
      <x:c r="L412"/>
    </x:row>
    <x:row r="413">
      <x:c r="F413"/>
      <x:c r="G413"/>
      <x:c r="H413"/>
      <x:c r="I413"/>
      <x:c r="J413"/>
      <x:c r="L413"/>
    </x:row>
    <x:row r="414">
      <x:c r="F414"/>
      <x:c r="G414"/>
      <x:c r="H414"/>
      <x:c r="I414"/>
      <x:c r="J414"/>
      <x:c r="L414"/>
    </x:row>
    <x:row r="415">
      <x:c r="F415"/>
      <x:c r="G415"/>
      <x:c r="H415"/>
      <x:c r="I415"/>
      <x:c r="J415"/>
      <x:c r="L415"/>
    </x:row>
    <x:row r="416">
      <x:c r="F416"/>
      <x:c r="G416"/>
      <x:c r="H416"/>
      <x:c r="I416"/>
      <x:c r="J416"/>
      <x:c r="L416"/>
    </x:row>
    <x:row r="417">
      <x:c r="F417"/>
      <x:c r="G417"/>
      <x:c r="H417"/>
      <x:c r="I417"/>
      <x:c r="J417"/>
      <x:c r="L417"/>
    </x:row>
    <x:row r="418">
      <x:c r="F418"/>
      <x:c r="G418"/>
      <x:c r="H418"/>
      <x:c r="I418"/>
      <x:c r="J418"/>
      <x:c r="L418"/>
    </x:row>
    <x:row r="419">
      <x:c r="F419"/>
      <x:c r="G419"/>
      <x:c r="H419"/>
      <x:c r="I419"/>
      <x:c r="J419"/>
      <x:c r="L419"/>
    </x:row>
    <x:row r="420">
      <x:c r="F420"/>
      <x:c r="G420"/>
      <x:c r="H420"/>
      <x:c r="I420"/>
      <x:c r="J420"/>
      <x:c r="L420"/>
    </x:row>
    <x:row r="421">
      <x:c r="F421"/>
      <x:c r="G421"/>
      <x:c r="H421"/>
      <x:c r="I421"/>
      <x:c r="J421"/>
      <x:c r="L421"/>
    </x:row>
    <x:row r="422">
      <x:c r="F422"/>
      <x:c r="G422"/>
      <x:c r="H422"/>
      <x:c r="I422"/>
      <x:c r="J422"/>
      <x:c r="L422"/>
    </x:row>
    <x:row r="423">
      <x:c r="F423"/>
      <x:c r="G423"/>
      <x:c r="H423"/>
      <x:c r="I423"/>
      <x:c r="J423"/>
      <x:c r="L423"/>
    </x:row>
    <x:row r="424">
      <x:c r="F424"/>
      <x:c r="G424"/>
      <x:c r="H424"/>
      <x:c r="I424"/>
      <x:c r="J424"/>
      <x:c r="L424"/>
    </x:row>
    <x:row r="425">
      <x:c r="F425"/>
      <x:c r="G425"/>
      <x:c r="H425"/>
      <x:c r="I425"/>
      <x:c r="J425"/>
      <x:c r="L425"/>
    </x:row>
    <x:row r="426">
      <x:c r="F426"/>
      <x:c r="G426"/>
      <x:c r="H426"/>
      <x:c r="I426"/>
      <x:c r="J426"/>
      <x:c r="L426"/>
    </x:row>
    <x:row r="427">
      <x:c r="F427"/>
      <x:c r="G427"/>
      <x:c r="H427"/>
      <x:c r="I427"/>
      <x:c r="J427"/>
      <x:c r="L427"/>
    </x:row>
    <x:row r="428">
      <x:c r="F428"/>
      <x:c r="G428"/>
      <x:c r="H428"/>
      <x:c r="I428"/>
      <x:c r="J428"/>
      <x:c r="L428"/>
    </x:row>
    <x:row r="429">
      <x:c r="F429"/>
      <x:c r="G429"/>
      <x:c r="H429"/>
      <x:c r="I429"/>
      <x:c r="J429"/>
      <x:c r="L429"/>
    </x:row>
    <x:row r="430">
      <x:c r="F430"/>
      <x:c r="G430"/>
      <x:c r="H430"/>
      <x:c r="I430"/>
      <x:c r="J430"/>
      <x:c r="L430"/>
    </x:row>
    <x:row r="431">
      <x:c r="F431"/>
      <x:c r="G431"/>
      <x:c r="H431"/>
      <x:c r="I431"/>
      <x:c r="J431"/>
      <x:c r="L431"/>
    </x:row>
    <x:row r="432">
      <x:c r="F432"/>
      <x:c r="G432"/>
      <x:c r="H432"/>
      <x:c r="I432"/>
      <x:c r="J432"/>
      <x:c r="L432"/>
    </x:row>
    <x:row r="433">
      <x:c r="F433"/>
      <x:c r="G433"/>
      <x:c r="H433"/>
      <x:c r="I433"/>
      <x:c r="J433"/>
      <x:c r="L433"/>
    </x:row>
    <x:row r="434">
      <x:c r="F434"/>
      <x:c r="G434"/>
      <x:c r="H434"/>
      <x:c r="I434"/>
      <x:c r="J434"/>
      <x:c r="L434"/>
    </x:row>
    <x:row r="435">
      <x:c r="F435"/>
      <x:c r="G435"/>
      <x:c r="H435"/>
      <x:c r="I435"/>
      <x:c r="J435"/>
      <x:c r="L435"/>
    </x:row>
    <x:row r="436">
      <x:c r="F436"/>
      <x:c r="G436"/>
      <x:c r="H436"/>
      <x:c r="I436"/>
      <x:c r="J436"/>
      <x:c r="L436"/>
    </x:row>
    <x:row r="437">
      <x:c r="F437"/>
      <x:c r="G437"/>
      <x:c r="H437"/>
      <x:c r="I437"/>
      <x:c r="J437"/>
      <x:c r="L437"/>
    </x:row>
    <x:row r="438">
      <x:c r="F438"/>
      <x:c r="G438"/>
      <x:c r="H438"/>
      <x:c r="I438"/>
      <x:c r="J438"/>
      <x:c r="L438"/>
    </x:row>
    <x:row r="439">
      <x:c r="F439"/>
      <x:c r="G439"/>
      <x:c r="H439"/>
      <x:c r="I439"/>
      <x:c r="J439"/>
      <x:c r="L439"/>
    </x:row>
    <x:row r="440">
      <x:c r="F440"/>
      <x:c r="G440"/>
      <x:c r="H440"/>
      <x:c r="I440"/>
      <x:c r="J440"/>
      <x:c r="L440"/>
    </x:row>
    <x:row r="441">
      <x:c r="F441"/>
      <x:c r="G441"/>
      <x:c r="H441"/>
      <x:c r="I441"/>
      <x:c r="J441"/>
      <x:c r="L441"/>
    </x:row>
    <x:row r="442">
      <x:c r="F442"/>
      <x:c r="G442"/>
      <x:c r="H442"/>
      <x:c r="I442"/>
      <x:c r="J442"/>
      <x:c r="L442"/>
    </x:row>
    <x:row r="443">
      <x:c r="F443"/>
      <x:c r="G443"/>
      <x:c r="H443"/>
      <x:c r="I443"/>
      <x:c r="J443"/>
      <x:c r="L443"/>
    </x:row>
    <x:row r="444">
      <x:c r="F444"/>
      <x:c r="G444"/>
      <x:c r="H444"/>
      <x:c r="I444"/>
      <x:c r="J444"/>
      <x:c r="L444"/>
    </x:row>
    <x:row r="445">
      <x:c r="F445"/>
      <x:c r="G445"/>
      <x:c r="H445"/>
      <x:c r="I445"/>
      <x:c r="J445"/>
      <x:c r="L445"/>
    </x:row>
    <x:row r="446">
      <x:c r="F446"/>
      <x:c r="G446"/>
      <x:c r="H446"/>
      <x:c r="I446"/>
      <x:c r="J446"/>
      <x:c r="L446"/>
    </x:row>
    <x:row r="447">
      <x:c r="F447"/>
      <x:c r="G447"/>
      <x:c r="H447"/>
      <x:c r="I447"/>
      <x:c r="J447"/>
      <x:c r="L447"/>
    </x:row>
    <x:row r="448">
      <x:c r="F448"/>
      <x:c r="G448"/>
      <x:c r="H448"/>
      <x:c r="I448"/>
      <x:c r="J448"/>
      <x:c r="L448"/>
    </x:row>
    <x:row r="449">
      <x:c r="F449"/>
      <x:c r="G449"/>
      <x:c r="H449"/>
      <x:c r="I449"/>
      <x:c r="J449"/>
      <x:c r="L449"/>
    </x:row>
    <x:row r="450">
      <x:c r="F450"/>
      <x:c r="G450"/>
      <x:c r="H450"/>
      <x:c r="I450"/>
      <x:c r="J450"/>
      <x:c r="L450"/>
    </x:row>
    <x:row r="451">
      <x:c r="F451"/>
      <x:c r="G451"/>
      <x:c r="H451"/>
      <x:c r="I451"/>
      <x:c r="J451"/>
      <x:c r="L451"/>
    </x:row>
    <x:row r="452">
      <x:c r="F452"/>
      <x:c r="G452"/>
      <x:c r="H452"/>
      <x:c r="I452"/>
      <x:c r="J452"/>
      <x:c r="L452"/>
    </x:row>
    <x:row r="453">
      <x:c r="F453"/>
      <x:c r="G453"/>
      <x:c r="H453"/>
      <x:c r="I453"/>
      <x:c r="J453"/>
      <x:c r="L453"/>
    </x:row>
    <x:row r="454">
      <x:c r="F454"/>
      <x:c r="G454"/>
      <x:c r="H454"/>
      <x:c r="I454"/>
      <x:c r="J454"/>
      <x:c r="L454"/>
    </x:row>
    <x:row r="455">
      <x:c r="F455"/>
      <x:c r="G455"/>
      <x:c r="H455"/>
      <x:c r="I455"/>
      <x:c r="J455"/>
      <x:c r="L455"/>
    </x:row>
    <x:row r="456">
      <x:c r="F456"/>
      <x:c r="G456"/>
      <x:c r="H456"/>
      <x:c r="I456"/>
      <x:c r="J456"/>
      <x:c r="L456"/>
    </x:row>
    <x:row r="457">
      <x:c r="F457"/>
      <x:c r="G457"/>
      <x:c r="H457"/>
      <x:c r="I457"/>
      <x:c r="J457"/>
      <x:c r="L457"/>
    </x:row>
    <x:row r="458">
      <x:c r="F458"/>
      <x:c r="G458"/>
      <x:c r="H458"/>
      <x:c r="I458"/>
      <x:c r="J458"/>
      <x:c r="L458"/>
    </x:row>
    <x:row r="459">
      <x:c r="F459"/>
      <x:c r="G459"/>
      <x:c r="H459"/>
      <x:c r="I459"/>
      <x:c r="J459"/>
      <x:c r="L459"/>
    </x:row>
    <x:row r="460">
      <x:c r="F460"/>
      <x:c r="G460"/>
      <x:c r="H460"/>
      <x:c r="I460"/>
      <x:c r="J460"/>
      <x:c r="L460"/>
    </x:row>
    <x:row r="461">
      <x:c r="F461"/>
      <x:c r="G461"/>
      <x:c r="H461"/>
      <x:c r="I461"/>
      <x:c r="J461"/>
      <x:c r="L461"/>
    </x:row>
    <x:row r="462">
      <x:c r="F462"/>
      <x:c r="G462"/>
      <x:c r="H462"/>
      <x:c r="I462"/>
      <x:c r="J462"/>
      <x:c r="L462"/>
    </x:row>
    <x:row r="463">
      <x:c r="F463"/>
      <x:c r="G463"/>
      <x:c r="H463"/>
      <x:c r="I463"/>
      <x:c r="J463"/>
      <x:c r="L463"/>
    </x:row>
    <x:row r="464">
      <x:c r="F464"/>
      <x:c r="G464"/>
      <x:c r="H464"/>
      <x:c r="I464"/>
      <x:c r="J464"/>
      <x:c r="L464"/>
    </x:row>
    <x:row r="465">
      <x:c r="F465"/>
      <x:c r="G465"/>
      <x:c r="H465"/>
      <x:c r="I465"/>
      <x:c r="J465"/>
      <x:c r="L465"/>
    </x:row>
    <x:row r="466">
      <x:c r="F466"/>
      <x:c r="G466"/>
      <x:c r="H466"/>
      <x:c r="I466"/>
      <x:c r="J466"/>
      <x:c r="L466"/>
    </x:row>
    <x:row r="467">
      <x:c r="F467"/>
      <x:c r="G467"/>
      <x:c r="H467"/>
      <x:c r="I467"/>
      <x:c r="J467"/>
      <x:c r="L467"/>
    </x:row>
    <x:row r="468">
      <x:c r="F468"/>
      <x:c r="G468"/>
      <x:c r="H468"/>
      <x:c r="I468"/>
      <x:c r="J468"/>
      <x:c r="L468"/>
    </x:row>
    <x:row r="469">
      <x:c r="F469"/>
      <x:c r="G469"/>
      <x:c r="H469"/>
      <x:c r="I469"/>
      <x:c r="J469"/>
      <x:c r="L469"/>
    </x:row>
    <x:row r="470">
      <x:c r="F470"/>
      <x:c r="G470"/>
      <x:c r="H470"/>
      <x:c r="I470"/>
      <x:c r="J470"/>
      <x:c r="L470"/>
    </x:row>
    <x:row r="471">
      <x:c r="F471"/>
      <x:c r="G471"/>
      <x:c r="H471"/>
      <x:c r="I471"/>
      <x:c r="J471"/>
      <x:c r="L471"/>
    </x:row>
    <x:row r="472">
      <x:c r="F472"/>
      <x:c r="G472"/>
      <x:c r="H472"/>
      <x:c r="I472"/>
      <x:c r="J472"/>
      <x:c r="L472"/>
    </x:row>
    <x:row r="473">
      <x:c r="F473"/>
      <x:c r="G473"/>
      <x:c r="H473"/>
      <x:c r="I473"/>
      <x:c r="J473"/>
      <x:c r="L473"/>
    </x:row>
    <x:row r="474">
      <x:c r="F474"/>
      <x:c r="G474"/>
      <x:c r="H474"/>
      <x:c r="I474"/>
      <x:c r="J474"/>
      <x:c r="L474"/>
    </x:row>
    <x:row r="475">
      <x:c r="F475"/>
      <x:c r="G475"/>
      <x:c r="H475"/>
      <x:c r="I475"/>
      <x:c r="J475"/>
      <x:c r="L475"/>
    </x:row>
    <x:row r="476">
      <x:c r="F476"/>
      <x:c r="G476"/>
      <x:c r="H476"/>
      <x:c r="I476"/>
      <x:c r="J476"/>
      <x:c r="L476"/>
    </x:row>
    <x:row r="477">
      <x:c r="F477"/>
      <x:c r="G477"/>
      <x:c r="H477"/>
      <x:c r="I477"/>
      <x:c r="J477"/>
      <x:c r="L477"/>
    </x:row>
    <x:row r="478">
      <x:c r="F478"/>
      <x:c r="G478"/>
      <x:c r="H478"/>
      <x:c r="I478"/>
      <x:c r="J478"/>
      <x:c r="L478"/>
    </x:row>
    <x:row r="479">
      <x:c r="F479"/>
      <x:c r="G479"/>
      <x:c r="H479"/>
      <x:c r="I479"/>
      <x:c r="J479"/>
      <x:c r="L479"/>
    </x:row>
    <x:row r="480">
      <x:c r="F480"/>
      <x:c r="G480"/>
      <x:c r="H480"/>
      <x:c r="I480"/>
      <x:c r="J480"/>
      <x:c r="L480"/>
    </x:row>
    <x:row r="481">
      <x:c r="F481"/>
      <x:c r="G481"/>
      <x:c r="H481"/>
      <x:c r="I481"/>
      <x:c r="J481"/>
      <x:c r="L481"/>
    </x:row>
    <x:row r="482">
      <x:c r="F482"/>
      <x:c r="G482"/>
      <x:c r="H482"/>
      <x:c r="I482"/>
      <x:c r="J482"/>
      <x:c r="L482"/>
    </x:row>
    <x:row r="483">
      <x:c r="F483"/>
      <x:c r="G483"/>
      <x:c r="H483"/>
      <x:c r="I483"/>
      <x:c r="J483"/>
      <x:c r="L483"/>
    </x:row>
    <x:row r="484">
      <x:c r="F484"/>
      <x:c r="G484"/>
      <x:c r="H484"/>
      <x:c r="I484"/>
      <x:c r="J484"/>
      <x:c r="L484"/>
    </x:row>
    <x:row r="485">
      <x:c r="F485"/>
      <x:c r="G485"/>
      <x:c r="H485"/>
      <x:c r="I485"/>
      <x:c r="J485"/>
      <x:c r="L485"/>
    </x:row>
    <x:row r="486">
      <x:c r="F486"/>
      <x:c r="G486"/>
      <x:c r="H486"/>
      <x:c r="I486"/>
      <x:c r="J486"/>
      <x:c r="L486"/>
    </x:row>
    <x:row r="487">
      <x:c r="F487"/>
      <x:c r="G487"/>
      <x:c r="H487"/>
      <x:c r="I487"/>
      <x:c r="J487"/>
      <x:c r="L487"/>
    </x:row>
    <x:row r="488">
      <x:c r="F488"/>
      <x:c r="G488"/>
      <x:c r="H488"/>
      <x:c r="I488"/>
      <x:c r="J488"/>
      <x:c r="L488"/>
    </x:row>
    <x:row r="489">
      <x:c r="F489"/>
      <x:c r="G489"/>
      <x:c r="H489"/>
      <x:c r="I489"/>
      <x:c r="J489"/>
      <x:c r="L489"/>
    </x:row>
    <x:row r="490">
      <x:c r="F490"/>
      <x:c r="G490"/>
      <x:c r="H490"/>
      <x:c r="I490"/>
      <x:c r="J490"/>
      <x:c r="L490"/>
    </x:row>
  </x:sheetData>
  <x:dataValidations count="1">
    <x:dataValidation type="list" sqref="F5:J166">
      <x:formula1>"1,2,3,4,5"</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48" hidden="0" customWidth="1"/>
    <x:col min="3" max="3" width="17" hidden="0" customWidth="1"/>
    <x:col min="4" max="4" width="18" hidden="0" customWidth="1"/>
    <x:col min="5" max="5" width="92" hidden="0" customWidth="1"/>
    <x:col min="6" max="6" width="16" hidden="0" customWidth="1"/>
    <x:col min="7" max="7" width="72" hidden="0" customWidth="1"/>
  </x:cols>
  <x:sheetData>
    <x:row r="2">
      <x:c r="A2" s="2" t="str">
        <x:v>Frozen consensus reference</x:v>
      </x:c>
      <x:c r="B2" s="1"/>
      <x:c r="C2" s="1"/>
      <x:c r="D2" s="1"/>
      <x:c r="E2" s="1"/>
      <x:c r="F2" s="1"/>
      <x:c r="G2" s="1"/>
    </x:row>
    <x:row r="4">
      <x:c r="A4" s="13" t="str">
        <x:v>Spec ID</x:v>
      </x:c>
      <x:c r="B4" s="13" t="str">
        <x:v>Title</x:v>
      </x:c>
      <x:c r="C4" s="13" t="str">
        <x:v>Consensus depth</x:v>
      </x:c>
      <x:c r="D4" s="13" t="str">
        <x:v>Scope category</x:v>
      </x:c>
      <x:c r="E4" s="13" t="str">
        <x:v>Consensus essential elements</x:v>
      </x:c>
      <x:c r="F4" s="13" t="str">
        <x:v>Evidence basis</x:v>
      </x:c>
      <x:c r="G4" s="13" t="str">
        <x:v>Implicit inferential link</x:v>
      </x:c>
    </x:row>
    <x:row r="5" ht="66" customHeight="1">
      <x:c r="A5" s="20" t="str">
        <x:v>SPEC-01</x:v>
      </x:c>
      <x:c r="B5" s="20" t="str">
        <x:v>Online Ordering Portal Still Shows Menu Item as Available After Overnight Menu Sync</x:v>
      </x:c>
      <x:c r="C5" s="20" t="str">
        <x:v>HIGH</x:v>
      </x:c>
      <x:c r="D5" s="20" t="str">
        <x:v>Functional</x:v>
      </x:c>
      <x:c r="E5" s="20" t="str">
        <x:v>Mark item Out of Stock on POS and verify immediate POS status; verify item becomes unavailable on web ordering; verify item becomes unavailable on mobile ordering; remove Out of Stock flag and verify item becomes available again; verify customer cannot successfully order unavailable item</x:v>
      </x:c>
      <x:c r="F5" s="20" t="str">
        <x:v>Explicit</x:v>
      </x:c>
      <x:c r="G5" s="20" t="str">
        <x:v>Directly grounded in the described change and acceptance behavior; adjacent checks are retained only where needed to prove the behavior end to end.</x:v>
      </x:c>
    </x:row>
    <x:row r="6" ht="66" customHeight="1">
      <x:c r="A6" s="21" t="str">
        <x:v>SPEC-01</x:v>
      </x:c>
      <x:c r="B6" s="21" t="str">
        <x:v>Online Ordering Portal Still Shows Menu Item as Available After Overnight Menu Sync</x:v>
      </x:c>
      <x:c r="C6" s="21" t="str">
        <x:v>HIGH</x:v>
      </x:c>
      <x:c r="D6" s="21" t="str">
        <x:v>Smoke</x:v>
      </x:c>
      <x:c r="E6" s="21" t="str">
        <x:v>POS can mark item OOS; online menu receives status; restoring item makes it orderable again</x:v>
      </x:c>
      <x:c r="F6" s="21" t="str">
        <x:v>Implicit</x:v>
      </x:c>
      <x:c r="G6" s="21" t="str">
        <x:v>A minimal critical-path subset is inferred from the stated behavior so basic viability can be established before deeper testing.</x:v>
      </x:c>
    </x:row>
    <x:row r="7" ht="66" customHeight="1">
      <x:c r="A7" s="21" t="str">
        <x:v>SPEC-01</x:v>
      </x:c>
      <x:c r="B7" s="21" t="str">
        <x:v>Online Ordering Portal Still Shows Menu Item as Available After Overnight Menu Sync</x:v>
      </x:c>
      <x:c r="C7" s="21" t="str">
        <x:v>HIGH</x:v>
      </x:c>
      <x:c r="D7" s="21" t="str">
        <x:v>Regression</x:v>
      </x:c>
      <x:c r="E7" s="21" t="str">
        <x:v>Verify other available items still synchronize correctly; verify normal menu sync is unaffected; verify unrelated menu attributes remain correct</x:v>
      </x:c>
      <x:c r="F7" s="21" t="str">
        <x:v>Mixed</x:v>
      </x:c>
      <x:c r="G7" s="21" t="str">
        <x:v>The changed area is explicit; preservation of nearby unchanged behavior is inferred as necessary regression protection.</x:v>
      </x:c>
    </x:row>
    <x:row r="8" ht="66" customHeight="1">
      <x:c r="A8" s="21" t="str">
        <x:v>SPEC-01</x:v>
      </x:c>
      <x:c r="B8" s="21" t="str">
        <x:v>Online Ordering Portal Still Shows Menu Item as Available After Overnight Menu Sync</x:v>
      </x:c>
      <x:c r="C8" s="21" t="str">
        <x:v>HIGH</x:v>
      </x:c>
      <x:c r="D8" s="21" t="str">
        <x:v>Integration</x:v>
      </x:c>
      <x:c r="E8" s="21" t="str">
        <x:v>Validate POS-to-online menu synchronization; validate both web and mobile consumers receive updated availability; validate overnight/scheduled sync path</x:v>
      </x:c>
      <x:c r="F8" s="21" t="str">
        <x:v>Explicit</x:v>
      </x:c>
      <x:c r="G8" s="21" t="str">
        <x:v>The specification explicitly names the interacting systems or data/configuration path; consensus follows that stated boundary.</x:v>
      </x:c>
    </x:row>
    <x:row r="9" ht="66" customHeight="1">
      <x:c r="A9" s="21" t="str">
        <x:v>SPEC-01</x:v>
      </x:c>
      <x:c r="B9" s="21" t="str">
        <x:v>Online Ordering Portal Still Shows Menu Item as Available After Overnight Menu Sync</x:v>
      </x:c>
      <x:c r="C9" s="21" t="str">
        <x:v>HIGH</x:v>
      </x:c>
      <x:c r="D9" s="21" t="str">
        <x:v>Exploratory</x:v>
      </x:c>
      <x:c r="E9" s="21" t="str">
        <x:v>Test rapid OOS/on-sale toggling; test item already in cart before status changes; test status around sync boundary; observe behavior during delayed/failed sync</x:v>
      </x:c>
      <x:c r="F9" s="21" t="str">
        <x:v>Implicit</x:v>
      </x:c>
      <x:c r="G9" s="21" t="str">
        <x:v>Timing, recovery, boundary, and state-transition checks are inferred from plausible failure modes of the stated change.</x:v>
      </x:c>
    </x:row>
    <x:row r="10" ht="66" customHeight="1">
      <x:c r="A10" s="21" t="str">
        <x:v>SPEC-01</x:v>
      </x:c>
      <x:c r="B10" s="21" t="str">
        <x:v>Online Ordering Portal Still Shows Menu Item as Available After Overnight Menu Sync</x:v>
      </x:c>
      <x:c r="C10" s="21" t="str">
        <x:v>HIGH</x:v>
      </x:c>
      <x:c r="D10" s="21" t="str">
        <x:v>Clarification</x:v>
      </x:c>
      <x:c r="E10" s="21" t="str">
        <x:v>Confirm expected propagation SLA/sync interval; confirm whether cart should remove an already-added item; confirm whether manual sync should also be tested</x:v>
      </x:c>
      <x:c r="F10" s="21" t="str">
        <x:v>Mixed</x:v>
      </x:c>
      <x:c r="G10" s="21" t="str">
        <x:v>Questions are derived from missing or ambiguous acceptance details that materially affect expected results.</x:v>
      </x:c>
    </x:row>
    <x:row r="11" ht="66" customHeight="1">
      <x:c r="A11" s="21" t="str">
        <x:v>SPEC-02</x:v>
      </x:c>
      <x:c r="B11" s="21" t="str">
        <x:v>Payment Device Firmware Update — Quick Chip Reconnection Fix</x:v>
      </x:c>
      <x:c r="C11" s="21" t="str">
        <x:v>HIGH</x:v>
      </x:c>
      <x:c r="D11" s="21" t="str">
        <x:v>Functional</x:v>
      </x:c>
      <x:c r="E11" s="21" t="str">
        <x:v>Start payment transaction; disconnect network cable during transaction and verify communication failure; reconnect cable; start new transaction and verify terminal reconnects; execute across POS v18/v19 and terminal A/B/C combinations</x:v>
      </x:c>
      <x:c r="F11" s="21" t="str">
        <x:v>Explicit</x:v>
      </x:c>
      <x:c r="G11" s="21" t="str">
        <x:v>Directly grounded in the described change and acceptance behavior; adjacent checks are retained only where needed to prove the behavior end to end.</x:v>
      </x:c>
    </x:row>
    <x:row r="12" ht="66" customHeight="1">
      <x:c r="A12" s="21" t="str">
        <x:v>SPEC-02</x:v>
      </x:c>
      <x:c r="B12" s="21" t="str">
        <x:v>Payment Device Firmware Update — Quick Chip Reconnection Fix</x:v>
      </x:c>
      <x:c r="C12" s="21" t="str">
        <x:v>HIGH</x:v>
      </x:c>
      <x:c r="D12" s="21" t="str">
        <x:v>Smoke</x:v>
      </x:c>
      <x:c r="E12" s="21" t="str">
        <x:v>Firmware installs successfully; terminal connects to POS; standard payment succeeds after firmware update</x:v>
      </x:c>
      <x:c r="F12" s="21" t="str">
        <x:v>Implicit</x:v>
      </x:c>
      <x:c r="G12" s="21" t="str">
        <x:v>A minimal critical-path subset is inferred from the stated behavior so basic viability can be established before deeper testing.</x:v>
      </x:c>
    </x:row>
    <x:row r="13" ht="66" customHeight="1">
      <x:c r="A13" s="21" t="str">
        <x:v>SPEC-02</x:v>
      </x:c>
      <x:c r="B13" s="21" t="str">
        <x:v>Payment Device Firmware Update — Quick Chip Reconnection Fix</x:v>
      </x:c>
      <x:c r="C13" s="21" t="str">
        <x:v>HIGH</x:v>
      </x:c>
      <x:c r="D13" s="21" t="str">
        <x:v>Regression</x:v>
      </x:c>
      <x:c r="E13" s="21" t="str">
        <x:v>Normal card transactions still work; decline/cancel flows still work; terminal remains connected during ordinary transactions; existing POS versions remain compatible</x:v>
      </x:c>
      <x:c r="F13" s="21" t="str">
        <x:v>Mixed</x:v>
      </x:c>
      <x:c r="G13" s="21" t="str">
        <x:v>The changed area is explicit; preservation of nearby unchanged behavior is inferred as necessary regression protection.</x:v>
      </x:c>
    </x:row>
    <x:row r="14" ht="66" customHeight="1">
      <x:c r="A14" s="21" t="str">
        <x:v>SPEC-02</x:v>
      </x:c>
      <x:c r="B14" s="21" t="str">
        <x:v>Payment Device Firmware Update — Quick Chip Reconnection Fix</x:v>
      </x:c>
      <x:c r="C14" s="21" t="str">
        <x:v>HIGH</x:v>
      </x:c>
      <x:c r="D14" s="21" t="str">
        <x:v>Integration</x:v>
      </x:c>
      <x:c r="E14" s="21" t="str">
        <x:v>Validate POS-payment terminal communication; validate network reconnection; validate all six POS/device combinations</x:v>
      </x:c>
      <x:c r="F14" s="21" t="str">
        <x:v>Explicit</x:v>
      </x:c>
      <x:c r="G14" s="21" t="str">
        <x:v>The specification explicitly names the interacting systems or data/configuration path; consensus follows that stated boundary.</x:v>
      </x:c>
    </x:row>
    <x:row r="15" ht="66" customHeight="1">
      <x:c r="A15" s="21" t="str">
        <x:v>SPEC-02</x:v>
      </x:c>
      <x:c r="B15" s="21" t="str">
        <x:v>Payment Device Firmware Update — Quick Chip Reconnection Fix</x:v>
      </x:c>
      <x:c r="C15" s="21" t="str">
        <x:v>HIGH</x:v>
      </x:c>
      <x:c r="D15" s="21" t="str">
        <x:v>Exploratory</x:v>
      </x:c>
      <x:c r="E15" s="21" t="str">
        <x:v>Disconnect/reconnect at different transaction stages; multiple disconnect cycles; short vs extended outage; reboot terminal after disconnect; reconnect while POS remains active</x:v>
      </x:c>
      <x:c r="F15" s="21" t="str">
        <x:v>Implicit</x:v>
      </x:c>
      <x:c r="G15" s="21" t="str">
        <x:v>Timing, recovery, boundary, and state-transition checks are inferred from plausible failure modes of the stated change.</x:v>
      </x:c>
    </x:row>
    <x:row r="16" ht="66" customHeight="1">
      <x:c r="A16" s="21" t="str">
        <x:v>SPEC-02</x:v>
      </x:c>
      <x:c r="B16" s="21" t="str">
        <x:v>Payment Device Firmware Update — Quick Chip Reconnection Fix</x:v>
      </x:c>
      <x:c r="C16" s="21" t="str">
        <x:v>HIGH</x:v>
      </x:c>
      <x:c r="D16" s="21" t="str">
        <x:v>Clarification</x:v>
      </x:c>
      <x:c r="E16" s="21" t="str">
        <x:v>Confirm exact firmware version; confirm supported card types to test; confirm expected recovery time after reconnect; confirm whether transaction reversal is expected for interrupted payment</x:v>
      </x:c>
      <x:c r="F16" s="21" t="str">
        <x:v>Mixed</x:v>
      </x:c>
      <x:c r="G16" s="21" t="str">
        <x:v>Questions are derived from missing or ambiguous acceptance details that materially affect expected results.</x:v>
      </x:c>
    </x:row>
    <x:row r="17" ht="66" customHeight="1">
      <x:c r="A17" s="21" t="str">
        <x:v>SPEC-03</x:v>
      </x:c>
      <x:c r="B17" s="21" t="str">
        <x:v>New Wi-Fi Access Point Hardware Rollout — Indoor Wi-Fi 7 Model</x:v>
      </x:c>
      <x:c r="C17" s="21" t="str">
        <x:v>HIGH</x:v>
      </x:c>
      <x:c r="D17" s="21" t="str">
        <x:v>Functional</x:v>
      </x:c>
      <x:c r="E17" s="21" t="str">
        <x:v>Connect appropriate device to each required network; verify management network connectivity; verify approved-device network connectivity; verify POS/line-busting tablet connectivity; verify guest Wi-Fi connectivity; verify operation on primary and secondary network templates</x:v>
      </x:c>
      <x:c r="F17" s="21" t="str">
        <x:v>Explicit</x:v>
      </x:c>
      <x:c r="G17" s="21" t="str">
        <x:v>Directly grounded in the described change and acceptance behavior; adjacent checks are retained only where needed to prove the behavior end to end.</x:v>
      </x:c>
    </x:row>
    <x:row r="18" ht="66" customHeight="1">
      <x:c r="A18" s="21" t="str">
        <x:v>SPEC-03</x:v>
      </x:c>
      <x:c r="B18" s="21" t="str">
        <x:v>New Wi-Fi Access Point Hardware Rollout — Indoor Wi-Fi 7 Model</x:v>
      </x:c>
      <x:c r="C18" s="21" t="str">
        <x:v>HIGH</x:v>
      </x:c>
      <x:c r="D18" s="21" t="str">
        <x:v>Smoke</x:v>
      </x:c>
      <x:c r="E18" s="21" t="str">
        <x:v>AP powers/comes online; SSIDs are visible; representative device connects; basic internet/network access works</x:v>
      </x:c>
      <x:c r="F18" s="21" t="str">
        <x:v>Implicit</x:v>
      </x:c>
      <x:c r="G18" s="21" t="str">
        <x:v>A minimal critical-path subset is inferred from the stated behavior so basic viability can be established before deeper testing.</x:v>
      </x:c>
    </x:row>
    <x:row r="19" ht="66" customHeight="1">
      <x:c r="A19" s="21" t="str">
        <x:v>SPEC-03</x:v>
      </x:c>
      <x:c r="B19" s="21" t="str">
        <x:v>New Wi-Fi Access Point Hardware Rollout — Indoor Wi-Fi 7 Model</x:v>
      </x:c>
      <x:c r="C19" s="21" t="str">
        <x:v>HIGH</x:v>
      </x:c>
      <x:c r="D19" s="21" t="str">
        <x:v>Regression</x:v>
      </x:c>
      <x:c r="E19" s="21" t="str">
        <x:v>Existing connected store devices continue working; POS communications remain functional; existing authentication/security behavior remains unchanged</x:v>
      </x:c>
      <x:c r="F19" s="21" t="str">
        <x:v>Mixed</x:v>
      </x:c>
      <x:c r="G19" s="21" t="str">
        <x:v>The changed area is explicit; preservation of nearby unchanged behavior is inferred as necessary regression protection.</x:v>
      </x:c>
    </x:row>
    <x:row r="20" ht="66" customHeight="1">
      <x:c r="A20" s="21" t="str">
        <x:v>SPEC-03</x:v>
      </x:c>
      <x:c r="B20" s="21" t="str">
        <x:v>New Wi-Fi Access Point Hardware Rollout — Indoor Wi-Fi 7 Model</x:v>
      </x:c>
      <x:c r="C20" s="21" t="str">
        <x:v>HIGH</x:v>
      </x:c>
      <x:c r="D20" s="21" t="str">
        <x:v>Integration</x:v>
      </x:c>
      <x:c r="E20" s="21" t="str">
        <x:v>Validate AP with network controller/template; validate POS/line-busting connectivity; validate internet/network routing on each SSID</x:v>
      </x:c>
      <x:c r="F20" s="21" t="str">
        <x:v>Explicit</x:v>
      </x:c>
      <x:c r="G20" s="21" t="str">
        <x:v>The specification explicitly names the interacting systems or data/configuration path; consensus follows that stated boundary.</x:v>
      </x:c>
    </x:row>
    <x:row r="21" ht="66" customHeight="1">
      <x:c r="A21" s="21" t="str">
        <x:v>SPEC-03</x:v>
      </x:c>
      <x:c r="B21" s="21" t="str">
        <x:v>New Wi-Fi Access Point Hardware Rollout — Indoor Wi-Fi 7 Model</x:v>
      </x:c>
      <x:c r="C21" s="21" t="str">
        <x:v>HIGH</x:v>
      </x:c>
      <x:c r="D21" s="21" t="str">
        <x:v>Exploratory</x:v>
      </x:c>
      <x:c r="E21" s="21" t="str">
        <x:v>Roaming/range behavior; reconnect after AP restart; multiple concurrent devices; failover between network templates; weak-signal behavior</x:v>
      </x:c>
      <x:c r="F21" s="21" t="str">
        <x:v>Implicit</x:v>
      </x:c>
      <x:c r="G21" s="21" t="str">
        <x:v>Timing, recovery, boundary, and state-transition checks are inferred from plausible failure modes of the stated change.</x:v>
      </x:c>
    </x:row>
    <x:row r="22" ht="66" customHeight="1">
      <x:c r="A22" s="21" t="str">
        <x:v>SPEC-03</x:v>
      </x:c>
      <x:c r="B22" s="21" t="str">
        <x:v>New Wi-Fi Access Point Hardware Rollout — Indoor Wi-Fi 7 Model</x:v>
      </x:c>
      <x:c r="C22" s="21" t="str">
        <x:v>HIGH</x:v>
      </x:c>
      <x:c r="D22" s="21" t="str">
        <x:v>Clarification</x:v>
      </x:c>
      <x:c r="E22" s="21" t="str">
        <x:v>Confirm required throughput/performance criteria; confirm security/authentication requirements by SSID; confirm whether Wi-Fi 6 comparison is needed</x:v>
      </x:c>
      <x:c r="F22" s="21" t="str">
        <x:v>Mixed</x:v>
      </x:c>
      <x:c r="G22" s="21" t="str">
        <x:v>Questions are derived from missing or ambiguous acceptance details that materially affect expected results.</x:v>
      </x:c>
    </x:row>
    <x:row r="23" ht="66" customHeight="1">
      <x:c r="A23" s="21" t="str">
        <x:v>SPEC-04</x:v>
      </x:c>
      <x:c r="B23" s="21" t="str">
        <x:v>New Catering Voucher Tender Key Implementation on POS</x:v>
      </x:c>
      <x:c r="C23" s="21" t="str">
        <x:v>HIGH</x:v>
      </x:c>
      <x:c r="D23" s="21" t="str">
        <x:v>Functional</x:v>
      </x:c>
      <x:c r="E23" s="21" t="str">
        <x:v>Verify catering voucher tender key is displayed and usable; tender eligible catering transaction; validate partial/full tender if supported; verify totals/tax/balance; validate Property Financial report; Employee Financial report; Revenue Center Financial report; validate listed analytics reports; verify third-party sales reporting and BI data flow</x:v>
      </x:c>
      <x:c r="F23" s="21" t="str">
        <x:v>Explicit</x:v>
      </x:c>
      <x:c r="G23" s="21" t="str">
        <x:v>Directly grounded in the described change and acceptance behavior; adjacent checks are retained only where needed to prove the behavior end to end.</x:v>
      </x:c>
    </x:row>
    <x:row r="24" ht="66" customHeight="1">
      <x:c r="A24" s="21" t="str">
        <x:v>SPEC-04</x:v>
      </x:c>
      <x:c r="B24" s="21" t="str">
        <x:v>New Catering Voucher Tender Key Implementation on POS</x:v>
      </x:c>
      <x:c r="C24" s="21" t="str">
        <x:v>HIGH</x:v>
      </x:c>
      <x:c r="D24" s="21" t="str">
        <x:v>Smoke</x:v>
      </x:c>
      <x:c r="E24" s="21" t="str">
        <x:v>Tender key loads; catering order can be completed using voucher; completed transaction appears in primary financial reporting</x:v>
      </x:c>
      <x:c r="F24" s="21" t="str">
        <x:v>Implicit</x:v>
      </x:c>
      <x:c r="G24" s="21" t="str">
        <x:v>A minimal critical-path subset is inferred from the stated behavior so basic viability can be established before deeper testing.</x:v>
      </x:c>
    </x:row>
    <x:row r="25" ht="66" customHeight="1">
      <x:c r="A25" s="21" t="str">
        <x:v>SPEC-04</x:v>
      </x:c>
      <x:c r="B25" s="21" t="str">
        <x:v>New Catering Voucher Tender Key Implementation on POS</x:v>
      </x:c>
      <x:c r="C25" s="21" t="str">
        <x:v>HIGH</x:v>
      </x:c>
      <x:c r="D25" s="21" t="str">
        <x:v>Regression</x:v>
      </x:c>
      <x:c r="E25" s="21" t="str">
        <x:v>Existing tenders continue working; existing catering order type remains unchanged; standard POS transaction functions remain unaffected; financial totals for other tenders remain accurate</x:v>
      </x:c>
      <x:c r="F25" s="21" t="str">
        <x:v>Explicit</x:v>
      </x:c>
      <x:c r="G25" s="21" t="str">
        <x:v>The specification explicitly requires regression coverage in this area; consensus retains the shared essential elements.</x:v>
      </x:c>
    </x:row>
    <x:row r="26" ht="66" customHeight="1">
      <x:c r="A26" s="21" t="str">
        <x:v>SPEC-04</x:v>
      </x:c>
      <x:c r="B26" s="21" t="str">
        <x:v>New Catering Voucher Tender Key Implementation on POS</x:v>
      </x:c>
      <x:c r="C26" s="21" t="str">
        <x:v>HIGH</x:v>
      </x:c>
      <x:c r="D26" s="21" t="str">
        <x:v>Integration</x:v>
      </x:c>
      <x:c r="E26" s="21" t="str">
        <x:v>Validate POS-to-reporting flow; analytics ingestion; third-party reporting; BI platform data flow</x:v>
      </x:c>
      <x:c r="F26" s="21" t="str">
        <x:v>Explicit</x:v>
      </x:c>
      <x:c r="G26" s="21" t="str">
        <x:v>The specification explicitly names the interacting systems or data/configuration path; consensus follows that stated boundary.</x:v>
      </x:c>
    </x:row>
    <x:row r="27" ht="66" customHeight="1">
      <x:c r="A27" s="21" t="str">
        <x:v>SPEC-04</x:v>
      </x:c>
      <x:c r="B27" s="21" t="str">
        <x:v>New Catering Voucher Tender Key Implementation on POS</x:v>
      </x:c>
      <x:c r="C27" s="21" t="str">
        <x:v>HIGH</x:v>
      </x:c>
      <x:c r="D27" s="21" t="str">
        <x:v>Exploratory</x:v>
      </x:c>
      <x:c r="E27" s="21" t="str">
        <x:v>Mixed tender if supported; insufficient/excess voucher amount; cancel/void/refund behavior; repeated voucher use; offline behavior if applicable</x:v>
      </x:c>
      <x:c r="F27" s="21" t="str">
        <x:v>Implicit</x:v>
      </x:c>
      <x:c r="G27" s="21" t="str">
        <x:v>Timing, recovery, boundary, and state-transition checks are inferred from plausible failure modes of the stated change.</x:v>
      </x:c>
    </x:row>
    <x:row r="28" ht="66" customHeight="1">
      <x:c r="A28" s="21" t="str">
        <x:v>SPEC-04</x:v>
      </x:c>
      <x:c r="B28" s="21" t="str">
        <x:v>New Catering Voucher Tender Key Implementation on POS</x:v>
      </x:c>
      <x:c r="C28" s="21" t="str">
        <x:v>HIGH</x:v>
      </x:c>
      <x:c r="D28" s="21" t="str">
        <x:v>Clarification</x:v>
      </x:c>
      <x:c r="E28" s="21" t="str">
        <x:v>Clarify voucher authorization/validation rules; allowed denominations/balance behavior; refund/void rules; mixed tender support; accounting/tax treatment; third-party expected field mapping</x:v>
      </x:c>
      <x:c r="F28" s="21" t="str">
        <x:v>Mixed</x:v>
      </x:c>
      <x:c r="G28" s="21" t="str">
        <x:v>Questions are derived from missing or ambiguous acceptance details that materially affect expected results.</x:v>
      </x:c>
    </x:row>
    <x:row r="29" ht="66" customHeight="1">
      <x:c r="A29" s="21" t="str">
        <x:v>SPEC-05</x:v>
      </x:c>
      <x:c r="B29" s="21" t="str">
        <x:v>New Extra-Large Beverage Size Addition to Menu</x:v>
      </x:c>
      <x:c r="C29" s="21" t="str">
        <x:v>HIGH</x:v>
      </x:c>
      <x:c r="D29" s="21" t="str">
        <x:v>Functional</x:v>
      </x:c>
      <x:c r="E29" s="21" t="str">
        <x:v>Verify XL size available for iced coffee/latte/refreshers in scope; verify seasonal hero variants; verify XL base price equals 2x medium; verify threshold pricing tier; verify default modifier count is 6; verify no suggested retail price on default modifier build; verify all modifications remain available</x:v>
      </x:c>
      <x:c r="F29" s="21" t="str">
        <x:v>Explicit</x:v>
      </x:c>
      <x:c r="G29" s="21" t="str">
        <x:v>Directly grounded in the described change and acceptance behavior; adjacent checks are retained only where needed to prove the behavior end to end.</x:v>
      </x:c>
    </x:row>
    <x:row r="30" ht="66" customHeight="1">
      <x:c r="A30" s="21" t="str">
        <x:v>SPEC-05</x:v>
      </x:c>
      <x:c r="B30" s="21" t="str">
        <x:v>New Extra-Large Beverage Size Addition to Menu</x:v>
      </x:c>
      <x:c r="C30" s="21" t="str">
        <x:v>HIGH</x:v>
      </x:c>
      <x:c r="D30" s="21" t="str">
        <x:v>Smoke</x:v>
      </x:c>
      <x:c r="E30" s="21" t="str">
        <x:v>XL button/item appears; item can be ordered; base price is correct; order can be completed</x:v>
      </x:c>
      <x:c r="F30" s="21" t="str">
        <x:v>Implicit</x:v>
      </x:c>
      <x:c r="G30" s="21" t="str">
        <x:v>A minimal critical-path subset is inferred from the stated behavior so basic viability can be established before deeper testing.</x:v>
      </x:c>
    </x:row>
    <x:row r="31" ht="66" customHeight="1">
      <x:c r="A31" s="21" t="str">
        <x:v>SPEC-05</x:v>
      </x:c>
      <x:c r="B31" s="21" t="str">
        <x:v>New Extra-Large Beverage Size Addition to Menu</x:v>
      </x:c>
      <x:c r="C31" s="21" t="str">
        <x:v>HIGH</x:v>
      </x:c>
      <x:c r="D31" s="21" t="str">
        <x:v>Regression</x:v>
      </x:c>
      <x:c r="E31" s="21" t="str">
        <x:v>Small/medium/large sizes remain unchanged; pricing for existing sizes remains unchanged; modifiers on existing sizes remain correct; unrelated menu items unaffected</x:v>
      </x:c>
      <x:c r="F31" s="21" t="str">
        <x:v>Mixed</x:v>
      </x:c>
      <x:c r="G31" s="21" t="str">
        <x:v>The changed area is explicit; preservation of nearby unchanged behavior is inferred as necessary regression protection.</x:v>
      </x:c>
    </x:row>
    <x:row r="32" ht="66" customHeight="1">
      <x:c r="A32" s="21" t="str">
        <x:v>SPEC-05</x:v>
      </x:c>
      <x:c r="B32" s="21" t="str">
        <x:v>New Extra-Large Beverage Size Addition to Menu</x:v>
      </x:c>
      <x:c r="C32" s="21" t="str">
        <x:v>HIGH</x:v>
      </x:c>
      <x:c r="D32" s="21" t="str">
        <x:v>Integration</x:v>
      </x:c>
      <x:c r="E32" s="21" t="str">
        <x:v>Validate menu configuration reaches POS/pricing engine; validate price calculation using configured medium price</x:v>
      </x:c>
      <x:c r="F32" s="21" t="str">
        <x:v>Mixed</x:v>
      </x:c>
      <x:c r="G32" s="21" t="str">
        <x:v>System boundaries are stated or strongly implied by the described components, configuration, and data flow.</x:v>
      </x:c>
    </x:row>
    <x:row r="33" ht="66" customHeight="1">
      <x:c r="A33" s="21" t="str">
        <x:v>SPEC-05</x:v>
      </x:c>
      <x:c r="B33" s="21" t="str">
        <x:v>New Extra-Large Beverage Size Addition to Menu</x:v>
      </x:c>
      <x:c r="C33" s="21" t="str">
        <x:v>HIGH</x:v>
      </x:c>
      <x:c r="D33" s="21" t="str">
        <x:v>Exploratory</x:v>
      </x:c>
      <x:c r="E33" s="21" t="str">
        <x:v>Add/remove modifiers around default count; test expensive/free modifiers; test different eligible beverages; price rounding; medium price update and derived XL price</x:v>
      </x:c>
      <x:c r="F33" s="21" t="str">
        <x:v>Implicit</x:v>
      </x:c>
      <x:c r="G33" s="21" t="str">
        <x:v>Timing, recovery, boundary, and state-transition checks are inferred from plausible failure modes of the stated change.</x:v>
      </x:c>
    </x:row>
    <x:row r="34" ht="66" customHeight="1">
      <x:c r="A34" s="21" t="str">
        <x:v>SPEC-05</x:v>
      </x:c>
      <x:c r="B34" s="21" t="str">
        <x:v>New Extra-Large Beverage Size Addition to Menu</x:v>
      </x:c>
      <x:c r="C34" s="21" t="str">
        <x:v>HIGH</x:v>
      </x:c>
      <x:c r="D34" s="21" t="str">
        <x:v>Clarification</x:v>
      </x:c>
      <x:c r="E34" s="21" t="str">
        <x:v>Clarify whether 2x medium includes modifiers or base price only; clarify threshold pricing behavior after six modifiers; clarify exact seasonal variants</x:v>
      </x:c>
      <x:c r="F34" s="21" t="str">
        <x:v>Mixed</x:v>
      </x:c>
      <x:c r="G34" s="21" t="str">
        <x:v>Questions are derived from missing or ambiguous acceptance details that materially affect expected results.</x:v>
      </x:c>
    </x:row>
    <x:row r="35" ht="66" customHeight="1">
      <x:c r="A35" s="21" t="str">
        <x:v>SPEC-06</x:v>
      </x:c>
      <x:c r="B35" s="21" t="str">
        <x:v>Menu Item Availability App — Time Window Configuration Enhancement</x:v>
      </x:c>
      <x:c r="C35" s="21" t="str">
        <x:v>HIGH</x:v>
      </x:c>
      <x:c r="D35" s="21" t="str">
        <x:v>Functional</x:v>
      </x:c>
      <x:c r="E35" s="21" t="str">
        <x:v>Configure separate start/end dates and start/end times; verify availability rule activates every day in window; verify stops after end date; verify outside-time behavior; test on POS 18.x and 19.x</x:v>
      </x:c>
      <x:c r="F35" s="21" t="str">
        <x:v>Explicit</x:v>
      </x:c>
      <x:c r="G35" s="21" t="str">
        <x:v>Directly grounded in the described change and acceptance behavior; adjacent checks are retained only where needed to prove the behavior end to end.</x:v>
      </x:c>
    </x:row>
    <x:row r="36" ht="66" customHeight="1">
      <x:c r="A36" s="21" t="str">
        <x:v>SPEC-06</x:v>
      </x:c>
      <x:c r="B36" s="21" t="str">
        <x:v>Menu Item Availability App — Time Window Configuration Enhancement</x:v>
      </x:c>
      <x:c r="C36" s="21" t="str">
        <x:v>HIGH</x:v>
      </x:c>
      <x:c r="D36" s="21" t="str">
        <x:v>Smoke</x:v>
      </x:c>
      <x:c r="E36" s="21" t="str">
        <x:v>Extension installs/loads; saved schedule is accepted; item availability changes during configured window</x:v>
      </x:c>
      <x:c r="F36" s="21" t="str">
        <x:v>Implicit</x:v>
      </x:c>
      <x:c r="G36" s="21" t="str">
        <x:v>A minimal critical-path subset is inferred from the stated behavior so basic viability can be established before deeper testing.</x:v>
      </x:c>
    </x:row>
    <x:row r="37" ht="66" customHeight="1">
      <x:c r="A37" s="21" t="str">
        <x:v>SPEC-06</x:v>
      </x:c>
      <x:c r="B37" s="21" t="str">
        <x:v>Menu Item Availability App — Time Window Configuration Enhancement</x:v>
      </x:c>
      <x:c r="C37" s="21" t="str">
        <x:v>HIGH</x:v>
      </x:c>
      <x:c r="D37" s="21" t="str">
        <x:v>Regression</x:v>
      </x:c>
      <x:c r="E37" s="21" t="str">
        <x:v>Existing availability behavior outside configured window remains correct; existing configurations remain usable after upgrade; unrelated items remain unaffected</x:v>
      </x:c>
      <x:c r="F37" s="21" t="str">
        <x:v>Mixed</x:v>
      </x:c>
      <x:c r="G37" s="21" t="str">
        <x:v>The changed area is explicit; preservation of nearby unchanged behavior is inferred as necessary regression protection.</x:v>
      </x:c>
    </x:row>
    <x:row r="38" ht="66" customHeight="1">
      <x:c r="A38" s="21" t="str">
        <x:v>SPEC-06</x:v>
      </x:c>
      <x:c r="B38" s="21" t="str">
        <x:v>Menu Item Availability App — Time Window Configuration Enhancement</x:v>
      </x:c>
      <x:c r="C38" s="21" t="str">
        <x:v>HIGH</x:v>
      </x:c>
      <x:c r="D38" s="21" t="str">
        <x:v>Integration</x:v>
      </x:c>
      <x:c r="E38" s="21" t="str">
        <x:v>Validate extension app interacts correctly with POS/menu availability on both platform versions</x:v>
      </x:c>
      <x:c r="F38" s="21" t="str">
        <x:v>Mixed</x:v>
      </x:c>
      <x:c r="G38" s="21" t="str">
        <x:v>System boundaries are stated or strongly implied by the described components, configuration, and data flow.</x:v>
      </x:c>
    </x:row>
    <x:row r="39" ht="66" customHeight="1">
      <x:c r="A39" s="21" t="str">
        <x:v>SPEC-06</x:v>
      </x:c>
      <x:c r="B39" s="21" t="str">
        <x:v>Menu Item Availability App — Time Window Configuration Enhancement</x:v>
      </x:c>
      <x:c r="C39" s="21" t="str">
        <x:v>HIGH</x:v>
      </x:c>
      <x:c r="D39" s="21" t="str">
        <x:v>Exploratory</x:v>
      </x:c>
      <x:c r="E39" s="21" t="str">
        <x:v>Cross-midnight time window; same start/end date; future schedule; date boundary; restart during active window; overlapping schedules if possible</x:v>
      </x:c>
      <x:c r="F39" s="21" t="str">
        <x:v>Implicit</x:v>
      </x:c>
      <x:c r="G39" s="21" t="str">
        <x:v>Timing, recovery, boundary, and state-transition checks are inferred from plausible failure modes of the stated change.</x:v>
      </x:c>
    </x:row>
    <x:row r="40" ht="66" customHeight="1">
      <x:c r="A40" s="21" t="str">
        <x:v>SPEC-06</x:v>
      </x:c>
      <x:c r="B40" s="21" t="str">
        <x:v>Menu Item Availability App — Time Window Configuration Enhancement</x:v>
      </x:c>
      <x:c r="C40" s="21" t="str">
        <x:v>HIGH</x:v>
      </x:c>
      <x:c r="D40" s="21" t="str">
        <x:v>Clarification</x:v>
      </x:c>
      <x:c r="E40" s="21" t="str">
        <x:v>Clarify timezone basis; inclusive/exclusive start/end behavior; overnight window support; handling of existing configurations after upgrade</x:v>
      </x:c>
      <x:c r="F40" s="21" t="str">
        <x:v>Mixed</x:v>
      </x:c>
      <x:c r="G40" s="21" t="str">
        <x:v>Questions are derived from missing or ambiguous acceptance details that materially affect expected results.</x:v>
      </x:c>
    </x:row>
    <x:row r="41" ht="66" customHeight="1">
      <x:c r="A41" s="21" t="str">
        <x:v>SPEC-08</x:v>
      </x:c>
      <x:c r="B41" s="21" t="str">
        <x:v>Role-Based Access Control — Restrict Void on Empty Check for Fraud Prevention</x:v>
      </x:c>
      <x:c r="C41" s="21" t="str">
        <x:v>HIGH</x:v>
      </x:c>
      <x:c r="D41" s="21" t="str">
        <x:v>Functional</x:v>
      </x:c>
      <x:c r="E41" s="21" t="str">
        <x:v>Verify listed restricted roles cannot void an empty check; verify roles already requiring authorization retain behavior; verify individual item void works; verify transaction return works; verify opening closed check works; test both brands; reproduce using food item</x:v>
      </x:c>
      <x:c r="F41" s="21" t="str">
        <x:v>Explicit</x:v>
      </x:c>
      <x:c r="G41" s="21" t="str">
        <x:v>Directly grounded in the described change and acceptance behavior; adjacent checks are retained only where needed to prove the behavior end to end.</x:v>
      </x:c>
    </x:row>
    <x:row r="42" ht="66" customHeight="1">
      <x:c r="A42" s="21" t="str">
        <x:v>SPEC-08</x:v>
      </x:c>
      <x:c r="B42" s="21" t="str">
        <x:v>Role-Based Access Control — Restrict Void on Empty Check for Fraud Prevention</x:v>
      </x:c>
      <x:c r="C42" s="21" t="str">
        <x:v>HIGH</x:v>
      </x:c>
      <x:c r="D42" s="21" t="str">
        <x:v>Smoke</x:v>
      </x:c>
      <x:c r="E42" s="21" t="str">
        <x:v>Restricted role is blocked from fraud flow; normal transaction can still be completed; authorized legitimate void/return path works</x:v>
      </x:c>
      <x:c r="F42" s="21" t="str">
        <x:v>Implicit</x:v>
      </x:c>
      <x:c r="G42" s="21" t="str">
        <x:v>A minimal critical-path subset is inferred from the stated behavior so basic viability can be established before deeper testing.</x:v>
      </x:c>
    </x:row>
    <x:row r="43" ht="66" customHeight="1">
      <x:c r="A43" s="21" t="str">
        <x:v>SPEC-08</x:v>
      </x:c>
      <x:c r="B43" s="21" t="str">
        <x:v>Role-Based Access Control — Restrict Void on Empty Check for Fraud Prevention</x:v>
      </x:c>
      <x:c r="C43" s="21" t="str">
        <x:v>HIGH</x:v>
      </x:c>
      <x:c r="D43" s="21" t="str">
        <x:v>Regression</x:v>
      </x:c>
      <x:c r="E43" s="21" t="str">
        <x:v>Verify other role permissions remain unchanged; normal void-item operation; returns; closed-check access; standard transaction flow</x:v>
      </x:c>
      <x:c r="F43" s="21" t="str">
        <x:v>Mixed</x:v>
      </x:c>
      <x:c r="G43" s="21" t="str">
        <x:v>The changed area is explicit; preservation of nearby unchanged behavior is inferred as necessary regression protection.</x:v>
      </x:c>
    </x:row>
    <x:row r="44" ht="66" customHeight="1">
      <x:c r="A44" s="21" t="str">
        <x:v>SPEC-08</x:v>
      </x:c>
      <x:c r="B44" s="21" t="str">
        <x:v>Role-Based Access Control — Restrict Void on Empty Check for Fraud Prevention</x:v>
      </x:c>
      <x:c r="C44" s="21" t="str">
        <x:v>HIGH</x:v>
      </x:c>
      <x:c r="D44" s="21" t="str">
        <x:v>Integration</x:v>
      </x:c>
      <x:c r="E44" s="21" t="str">
        <x:v>Validate role configuration/option bit is correctly distributed to POS for both brands</x:v>
      </x:c>
      <x:c r="F44" s="21" t="str">
        <x:v>Mixed</x:v>
      </x:c>
      <x:c r="G44" s="21" t="str">
        <x:v>System boundaries are stated or strongly implied by the described components, configuration, and data flow.</x:v>
      </x:c>
    </x:row>
    <x:row r="45" ht="66" customHeight="1">
      <x:c r="A45" s="21" t="str">
        <x:v>SPEC-08</x:v>
      </x:c>
      <x:c r="B45" s="21" t="str">
        <x:v>Role-Based Access Control — Restrict Void on Empty Check for Fraud Prevention</x:v>
      </x:c>
      <x:c r="C45" s="21" t="str">
        <x:v>HIGH</x:v>
      </x:c>
      <x:c r="D45" s="21" t="str">
        <x:v>Exploratory</x:v>
      </x:c>
      <x:c r="E45" s="21" t="str">
        <x:v>Attempt authorization escalation; switch users on same check; attempt void after adding/removing item; repeat after login/logout; test restricted versus privileged roles</x:v>
      </x:c>
      <x:c r="F45" s="21" t="str">
        <x:v>Implicit</x:v>
      </x:c>
      <x:c r="G45" s="21" t="str">
        <x:v>Timing, recovery, boundary, and state-transition checks are inferred from plausible failure modes of the stated change.</x:v>
      </x:c>
    </x:row>
    <x:row r="46" ht="66" customHeight="1">
      <x:c r="A46" s="21" t="str">
        <x:v>SPEC-08</x:v>
      </x:c>
      <x:c r="B46" s="21" t="str">
        <x:v>Role-Based Access Control — Restrict Void on Empty Check for Fraud Prevention</x:v>
      </x:c>
      <x:c r="C46" s="21" t="str">
        <x:v>HIGH</x:v>
      </x:c>
      <x:c r="D46" s="21" t="str">
        <x:v>Clarification</x:v>
      </x:c>
      <x:c r="E46" s="21" t="str">
        <x:v>Clarify exact block message; clarify whether managers can authorize another user; clarify expected audit logging; clarify all environments/roles needing coverage</x:v>
      </x:c>
      <x:c r="F46" s="21" t="str">
        <x:v>Mixed</x:v>
      </x:c>
      <x:c r="G46" s="21" t="str">
        <x:v>Questions are derived from missing or ambiguous acceptance details that materially affect expected results.</x:v>
      </x:c>
    </x:row>
    <x:row r="47" ht="66" customHeight="1">
      <x:c r="A47" s="21" t="str">
        <x:v>SPEC-09</x:v>
      </x:c>
      <x:c r="B47" s="21" t="str">
        <x:v>Delivery Markup Percentage Update for Third-Party Delivery Platform</x:v>
      </x:c>
      <x:c r="C47" s="21" t="str">
        <x:v>HIGH</x:v>
      </x:c>
      <x:c r="D47" s="21" t="str">
        <x:v>Functional</x:v>
      </x:c>
      <x:c r="E47" s="21" t="str">
        <x:v>Verify target platform markup changes from 25% to 26%; verify both brands; verify effective-date behavior; verify other delivery platforms retain existing markup; verify calculations/reporting in UAT/Pre-Prod/Prod</x:v>
      </x:c>
      <x:c r="F47" s="21" t="str">
        <x:v>Explicit</x:v>
      </x:c>
      <x:c r="G47" s="21" t="str">
        <x:v>Directly grounded in the described change and acceptance behavior; adjacent checks are retained only where needed to prove the behavior end to end.</x:v>
      </x:c>
    </x:row>
    <x:row r="48" ht="66" customHeight="1">
      <x:c r="A48" s="21" t="str">
        <x:v>SPEC-09</x:v>
      </x:c>
      <x:c r="B48" s="21" t="str">
        <x:v>Delivery Markup Percentage Update for Third-Party Delivery Platform</x:v>
      </x:c>
      <x:c r="C48" s="21" t="str">
        <x:v>HIGH</x:v>
      </x:c>
      <x:c r="D48" s="21" t="str">
        <x:v>Smoke</x:v>
      </x:c>
      <x:c r="E48" s="21" t="str">
        <x:v>Configuration shows 26%; new eligible transaction reflects expected markup; unaffected delivery platform still works</x:v>
      </x:c>
      <x:c r="F48" s="21" t="str">
        <x:v>Implicit</x:v>
      </x:c>
      <x:c r="G48" s="21" t="str">
        <x:v>A minimal critical-path subset is inferred from the stated behavior so basic viability can be established before deeper testing.</x:v>
      </x:c>
    </x:row>
    <x:row r="49" ht="66" customHeight="1">
      <x:c r="A49" s="21" t="str">
        <x:v>SPEC-09</x:v>
      </x:c>
      <x:c r="B49" s="21" t="str">
        <x:v>Delivery Markup Percentage Update for Third-Party Delivery Platform</x:v>
      </x:c>
      <x:c r="C49" s="21" t="str">
        <x:v>HIGH</x:v>
      </x:c>
      <x:c r="D49" s="21" t="str">
        <x:v>Regression</x:v>
      </x:c>
      <x:c r="E49" s="21" t="str">
        <x:v>Other delivery providers unchanged; historical reporting remains consistent per agreed rule; other data-mapping values unaffected</x:v>
      </x:c>
      <x:c r="F49" s="21" t="str">
        <x:v>Mixed</x:v>
      </x:c>
      <x:c r="G49" s="21" t="str">
        <x:v>The changed area is explicit; preservation of nearby unchanged behavior is inferred as necessary regression protection.</x:v>
      </x:c>
    </x:row>
    <x:row r="50" ht="66" customHeight="1">
      <x:c r="A50" s="21" t="str">
        <x:v>SPEC-09</x:v>
      </x:c>
      <x:c r="B50" s="21" t="str">
        <x:v>Delivery Markup Percentage Update for Third-Party Delivery Platform</x:v>
      </x:c>
      <x:c r="C50" s="21" t="str">
        <x:v>HIGH</x:v>
      </x:c>
      <x:c r="D50" s="21" t="str">
        <x:v>Integration</x:v>
      </x:c>
      <x:c r="E50" s="21" t="str">
        <x:v>Validate reporting configuration through downstream data pipeline; validate target delivery platform; validate separate third-party reporting platform if required</x:v>
      </x:c>
      <x:c r="F50" s="21" t="str">
        <x:v>Explicit</x:v>
      </x:c>
      <x:c r="G50" s="21" t="str">
        <x:v>The specification explicitly names the interacting systems or data/configuration path; consensus follows that stated boundary.</x:v>
      </x:c>
    </x:row>
    <x:row r="51" ht="66" customHeight="1">
      <x:c r="A51" s="21" t="str">
        <x:v>SPEC-09</x:v>
      </x:c>
      <x:c r="B51" s="21" t="str">
        <x:v>Delivery Markup Percentage Update for Third-Party Delivery Platform</x:v>
      </x:c>
      <x:c r="C51" s="21" t="str">
        <x:v>HIGH</x:v>
      </x:c>
      <x:c r="D51" s="21" t="str">
        <x:v>Exploratory</x:v>
      </x:c>
      <x:c r="E51" s="21" t="str">
        <x:v>Transaction before/after effective-date boundary; delayed transaction ingestion; refund/cancel after rate change; rounding behavior</x:v>
      </x:c>
      <x:c r="F51" s="21" t="str">
        <x:v>Implicit</x:v>
      </x:c>
      <x:c r="G51" s="21" t="str">
        <x:v>Timing, recovery, boundary, and state-transition checks are inferred from plausible failure modes of the stated change.</x:v>
      </x:c>
    </x:row>
    <x:row r="52" ht="66" customHeight="1">
      <x:c r="A52" s="21" t="str">
        <x:v>SPEC-09</x:v>
      </x:c>
      <x:c r="B52" s="21" t="str">
        <x:v>Delivery Markup Percentage Update for Third-Party Delivery Platform</x:v>
      </x:c>
      <x:c r="C52" s="21" t="str">
        <x:v>HIGH</x:v>
      </x:c>
      <x:c r="D52" s="21" t="str">
        <x:v>Clarification</x:v>
      </x:c>
      <x:c r="E52" s="21" t="str">
        <x:v>Must clarify whether markup is prospective or retroactive; confirm exact effective date/time/timezone; confirm third-party reporting platform change requirement; confirm expected rounding</x:v>
      </x:c>
      <x:c r="F52" s="21" t="str">
        <x:v>Explicit</x:v>
      </x:c>
      <x:c r="G52" s="21" t="str">
        <x:v>The specification explicitly requires QA to determine retroactive versus prospective behavior and notes a possible third-party reporting change.</x:v>
      </x:c>
    </x:row>
    <x:row r="53" ht="66" customHeight="1">
      <x:c r="A53" s="21" t="str">
        <x:v>SPEC-10</x:v>
      </x:c>
      <x:c r="B53" s="21" t="str">
        <x:v>SSL Certificate Renewal for Loyalty Platform Integration</x:v>
      </x:c>
      <x:c r="C53" s="21" t="str">
        <x:v>HIGH</x:v>
      </x:c>
      <x:c r="D53" s="21" t="str">
        <x:v>Functional</x:v>
      </x:c>
      <x:c r="E53" s="21" t="str">
        <x:v>Verify new certificate imports to POS terminals/tablets; verify POS references new certificate via content settings; validate loyalty transactions after certificate rotation; verify expiration/validity details; validate only intended brand/environment</x:v>
      </x:c>
      <x:c r="F53" s="21" t="str">
        <x:v>Explicit</x:v>
      </x:c>
      <x:c r="G53" s="21" t="str">
        <x:v>Directly grounded in the described change and acceptance behavior; adjacent checks are retained only where needed to prove the behavior end to end.</x:v>
      </x:c>
    </x:row>
    <x:row r="54" ht="66" customHeight="1">
      <x:c r="A54" s="21" t="str">
        <x:v>SPEC-10</x:v>
      </x:c>
      <x:c r="B54" s="21" t="str">
        <x:v>SSL Certificate Renewal for Loyalty Platform Integration</x:v>
      </x:c>
      <x:c r="C54" s="21" t="str">
        <x:v>HIGH</x:v>
      </x:c>
      <x:c r="D54" s="21" t="str">
        <x:v>Smoke</x:v>
      </x:c>
      <x:c r="E54" s="21" t="str">
        <x:v>Certificate installs; device communicates with loyalty service; basic loyalty transaction succeeds</x:v>
      </x:c>
      <x:c r="F54" s="21" t="str">
        <x:v>Implicit</x:v>
      </x:c>
      <x:c r="G54" s="21" t="str">
        <x:v>A minimal critical-path subset is inferred from the stated behavior so basic viability can be established before deeper testing.</x:v>
      </x:c>
    </x:row>
    <x:row r="55" ht="66" customHeight="1">
      <x:c r="A55" s="21" t="str">
        <x:v>SPEC-10</x:v>
      </x:c>
      <x:c r="B55" s="21" t="str">
        <x:v>SSL Certificate Renewal for Loyalty Platform Integration</x:v>
      </x:c>
      <x:c r="C55" s="21" t="str">
        <x:v>HIGH</x:v>
      </x:c>
      <x:c r="D55" s="21" t="str">
        <x:v>Regression</x:v>
      </x:c>
      <x:c r="E55" s="21" t="str">
        <x:v>Standard POS/tablet functions continue; non-target brand unaffected; existing content configuration remains correct</x:v>
      </x:c>
      <x:c r="F55" s="21" t="str">
        <x:v>Mixed</x:v>
      </x:c>
      <x:c r="G55" s="21" t="str">
        <x:v>The changed area is explicit; preservation of nearby unchanged behavior is inferred as necessary regression protection.</x:v>
      </x:c>
    </x:row>
    <x:row r="56" ht="66" customHeight="1">
      <x:c r="A56" s="21" t="str">
        <x:v>SPEC-10</x:v>
      </x:c>
      <x:c r="B56" s="21" t="str">
        <x:v>SSL Certificate Renewal for Loyalty Platform Integration</x:v>
      </x:c>
      <x:c r="C56" s="21" t="str">
        <x:v>HIGH</x:v>
      </x:c>
      <x:c r="D56" s="21" t="str">
        <x:v>Integration</x:v>
      </x:c>
      <x:c r="E56" s="21" t="str">
        <x:v>Validate device-to-loyalty vendor TLS connection; validate content management certificate reference; confirm vendor-side certificate supports connection</x:v>
      </x:c>
      <x:c r="F56" s="21" t="str">
        <x:v>Explicit</x:v>
      </x:c>
      <x:c r="G56" s="21" t="str">
        <x:v>The specification explicitly names the interacting systems or data/configuration path; consensus follows that stated boundary.</x:v>
      </x:c>
    </x:row>
    <x:row r="57" ht="66" customHeight="1">
      <x:c r="A57" s="21" t="str">
        <x:v>SPEC-10</x:v>
      </x:c>
      <x:c r="B57" s="21" t="str">
        <x:v>SSL Certificate Renewal for Loyalty Platform Integration</x:v>
      </x:c>
      <x:c r="C57" s="21" t="str">
        <x:v>HIGH</x:v>
      </x:c>
      <x:c r="D57" s="21" t="str">
        <x:v>Exploratory</x:v>
      </x:c>
      <x:c r="E57" s="21" t="str">
        <x:v>Test device restart after import; old certificate removal/expiry behavior; invalid/missing certificate where safe; clock/date sensitivity</x:v>
      </x:c>
      <x:c r="F57" s="21" t="str">
        <x:v>Implicit</x:v>
      </x:c>
      <x:c r="G57" s="21" t="str">
        <x:v>Timing, recovery, boundary, and state-transition checks are inferred from plausible failure modes of the stated change.</x:v>
      </x:c>
    </x:row>
    <x:row r="58" ht="66" customHeight="1">
      <x:c r="A58" s="21" t="str">
        <x:v>SPEC-10</x:v>
      </x:c>
      <x:c r="B58" s="21" t="str">
        <x:v>SSL Certificate Renewal for Loyalty Platform Integration</x:v>
      </x:c>
      <x:c r="C58" s="21" t="str">
        <x:v>HIGH</x:v>
      </x:c>
      <x:c r="D58" s="21" t="str">
        <x:v>Clarification</x:v>
      </x:c>
      <x:c r="E58" s="21" t="str">
        <x:v>Clarify certificate chain and expected thumbprint; clarify rollback process; confirm old/new certificate overlap period; confirm which loyalty transactions constitute acceptance</x:v>
      </x:c>
      <x:c r="F58" s="21" t="str">
        <x:v>Mixed</x:v>
      </x:c>
      <x:c r="G58" s="21" t="str">
        <x:v>Questions are derived from missing or ambiguous acceptance details that materially affect expected results.</x:v>
      </x:c>
    </x:row>
    <x:row r="59" ht="66" customHeight="1">
      <x:c r="A59" s="21" t="str">
        <x:v>SPEC-11</x:v>
      </x:c>
      <x:c r="B59" s="21" t="str">
        <x:v>Mobile App Advance Order — Price Lock Behavior When Item Prices Change Before Fulfillment</x:v>
      </x:c>
      <x:c r="C59" s="21" t="str">
        <x:v>HIGH</x:v>
      </x:c>
      <x:c r="D59" s="21" t="str">
        <x:v>Functional</x:v>
      </x:c>
      <x:c r="E59" s="21" t="str">
        <x:v>Place future mobile order at current price; complete payment; change price before pickup/fulfillment; verify POS receives original locked price; verify order completes without price mismatch/error; validate multiple items where one or more prices change</x:v>
      </x:c>
      <x:c r="F59" s="21" t="str">
        <x:v>Explicit</x:v>
      </x:c>
      <x:c r="G59" s="21" t="str">
        <x:v>Directly grounded in the described change and acceptance behavior; adjacent checks are retained only where needed to prove the behavior end to end.</x:v>
      </x:c>
    </x:row>
    <x:row r="60" ht="66" customHeight="1">
      <x:c r="A60" s="21" t="str">
        <x:v>SPEC-11</x:v>
      </x:c>
      <x:c r="B60" s="21" t="str">
        <x:v>Mobile App Advance Order — Price Lock Behavior When Item Prices Change Before Fulfillment</x:v>
      </x:c>
      <x:c r="C60" s="21" t="str">
        <x:v>HIGH</x:v>
      </x:c>
      <x:c r="D60" s="21" t="str">
        <x:v>Smoke</x:v>
      </x:c>
      <x:c r="E60" s="21" t="str">
        <x:v>Advance order can be created and paid; scheduled order reaches POS; order completes</x:v>
      </x:c>
      <x:c r="F60" s="21" t="str">
        <x:v>Implicit</x:v>
      </x:c>
      <x:c r="G60" s="21" t="str">
        <x:v>A minimal critical-path subset is inferred from the stated behavior so basic viability can be established before deeper testing.</x:v>
      </x:c>
    </x:row>
    <x:row r="61" ht="66" customHeight="1">
      <x:c r="A61" s="21" t="str">
        <x:v>SPEC-11</x:v>
      </x:c>
      <x:c r="B61" s="21" t="str">
        <x:v>Mobile App Advance Order — Price Lock Behavior When Item Prices Change Before Fulfillment</x:v>
      </x:c>
      <x:c r="C61" s="21" t="str">
        <x:v>HIGH</x:v>
      </x:c>
      <x:c r="D61" s="21" t="str">
        <x:v>Regression</x:v>
      </x:c>
      <x:c r="E61" s="21" t="str">
        <x:v>Normal advance order with unchanged price still works; immediate orders unaffected; unaffected items retain correct price</x:v>
      </x:c>
      <x:c r="F61" s="21" t="str">
        <x:v>Mixed</x:v>
      </x:c>
      <x:c r="G61" s="21" t="str">
        <x:v>The changed area is explicit; preservation of nearby unchanged behavior is inferred as necessary regression protection.</x:v>
      </x:c>
    </x:row>
    <x:row r="62" ht="66" customHeight="1">
      <x:c r="A62" s="21" t="str">
        <x:v>SPEC-11</x:v>
      </x:c>
      <x:c r="B62" s="21" t="str">
        <x:v>Mobile App Advance Order — Price Lock Behavior When Item Prices Change Before Fulfillment</x:v>
      </x:c>
      <x:c r="C62" s="21" t="str">
        <x:v>HIGH</x:v>
      </x:c>
      <x:c r="D62" s="21" t="str">
        <x:v>Integration</x:v>
      </x:c>
      <x:c r="E62" s="21" t="str">
        <x:v>Validate mobile app/order service to pricing engine and POS handoff; validate stored order price through fulfillment</x:v>
      </x:c>
      <x:c r="F62" s="21" t="str">
        <x:v>Explicit</x:v>
      </x:c>
      <x:c r="G62" s="21" t="str">
        <x:v>The specification explicitly names the interacting systems or data/configuration path; consensus follows that stated boundary.</x:v>
      </x:c>
    </x:row>
    <x:row r="63" ht="66" customHeight="1">
      <x:c r="A63" s="21" t="str">
        <x:v>SPEC-11</x:v>
      </x:c>
      <x:c r="B63" s="21" t="str">
        <x:v>Mobile App Advance Order — Price Lock Behavior When Item Prices Change Before Fulfillment</x:v>
      </x:c>
      <x:c r="C63" s="21" t="str">
        <x:v>HIGH</x:v>
      </x:c>
      <x:c r="D63" s="21" t="str">
        <x:v>Exploratory</x:v>
      </x:c>
      <x:c r="E63" s="21" t="str">
        <x:v>Change one item versus all items; increase/decrease price; modifier price change; tax impact; multiple price updates; item unavailable before fulfillment</x:v>
      </x:c>
      <x:c r="F63" s="21" t="str">
        <x:v>Implicit</x:v>
      </x:c>
      <x:c r="G63" s="21" t="str">
        <x:v>Timing, recovery, boundary, and state-transition checks are inferred from plausible failure modes of the stated change.</x:v>
      </x:c>
    </x:row>
    <x:row r="64" ht="66" customHeight="1">
      <x:c r="A64" s="21" t="str">
        <x:v>SPEC-11</x:v>
      </x:c>
      <x:c r="B64" s="21" t="str">
        <x:v>Mobile App Advance Order — Price Lock Behavior When Item Prices Change Before Fulfillment</x:v>
      </x:c>
      <x:c r="C64" s="21" t="str">
        <x:v>HIGH</x:v>
      </x:c>
      <x:c r="D64" s="21" t="str">
        <x:v>Clarification</x:v>
      </x:c>
      <x:c r="E64" s="21" t="str">
        <x:v>Clarify whether taxes/fees are also locked; clarify modifier price behavior; clarify which system is source of truth for stored price; clarify expected behavior if item becomes unavailable</x:v>
      </x:c>
      <x:c r="F64" s="21" t="str">
        <x:v>Mixed</x:v>
      </x:c>
      <x:c r="G64" s="21" t="str">
        <x:v>Questions are derived from missing or ambiguous acceptance details that materially affect expected results.</x:v>
      </x:c>
    </x:row>
    <x:row r="65" ht="66" customHeight="1">
      <x:c r="A65" s="21" t="str">
        <x:v>SPEC-12</x:v>
      </x:c>
      <x:c r="B65" s="21" t="str">
        <x:v>Financial Report Layout Change — Move Third-Party Delivery Detail Section to Bottom</x:v>
      </x:c>
      <x:c r="C65" s="21" t="str">
        <x:v>MEDIUM</x:v>
      </x:c>
      <x:c r="D65" s="21" t="str">
        <x:v>Functional</x:v>
      </x:c>
      <x:c r="E65" s="21" t="str">
        <x:v>Verify Third-Party Delivery detail section moves below Rewards; verify Order Type delivery summary remains in original location; verify Tender Media/Group Sales/Discounts/Service Charges appear before moved detail; verify report values remain correct</x:v>
      </x:c>
      <x:c r="F65" s="21" t="str">
        <x:v>Explicit</x:v>
      </x:c>
      <x:c r="G65" s="21" t="str">
        <x:v>Directly grounded in the described change and acceptance behavior; adjacent checks are retained only where needed to prove the behavior end to end.</x:v>
      </x:c>
    </x:row>
    <x:row r="66" ht="66" customHeight="1">
      <x:c r="A66" s="21" t="str">
        <x:v>SPEC-12</x:v>
      </x:c>
      <x:c r="B66" s="21" t="str">
        <x:v>Financial Report Layout Change — Move Third-Party Delivery Detail Section to Bottom</x:v>
      </x:c>
      <x:c r="C66" s="21" t="str">
        <x:v>MEDIUM</x:v>
      </x:c>
      <x:c r="D66" s="21" t="str">
        <x:v>Smoke</x:v>
      </x:c>
      <x:c r="E66" s="21" t="str">
        <x:v>Report generates successfully; moved section appears at bottom; summary values display</x:v>
      </x:c>
      <x:c r="F66" s="21" t="str">
        <x:v>Implicit</x:v>
      </x:c>
      <x:c r="G66" s="21" t="str">
        <x:v>A minimal critical-path subset is inferred from the stated behavior so basic viability can be established before deeper testing.</x:v>
      </x:c>
    </x:row>
    <x:row r="67" ht="66" customHeight="1">
      <x:c r="A67" s="21" t="str">
        <x:v>SPEC-12</x:v>
      </x:c>
      <x:c r="B67" s="21" t="str">
        <x:v>Financial Report Layout Change — Move Third-Party Delivery Detail Section to Bottom</x:v>
      </x:c>
      <x:c r="C67" s="21" t="str">
        <x:v>MEDIUM</x:v>
      </x:c>
      <x:c r="D67" s="21" t="str">
        <x:v>Regression</x:v>
      </x:c>
      <x:c r="E67" s="21" t="str">
        <x:v>Validate totals and values unchanged from equivalent pre-change data; other report sections remain present and ordered correctly; page generation/export unaffected</x:v>
      </x:c>
      <x:c r="F67" s="21" t="str">
        <x:v>Mixed</x:v>
      </x:c>
      <x:c r="G67" s="21" t="str">
        <x:v>The changed area is explicit; preservation of nearby unchanged behavior is inferred as necessary regression protection.</x:v>
      </x:c>
    </x:row>
    <x:row r="68" ht="66" customHeight="1">
      <x:c r="A68" s="21" t="str">
        <x:v>SPEC-12</x:v>
      </x:c>
      <x:c r="B68" s="21" t="str">
        <x:v>Financial Report Layout Change — Move Third-Party Delivery Detail Section to Bottom</x:v>
      </x:c>
      <x:c r="C68" s="21" t="str">
        <x:v>MEDIUM</x:v>
      </x:c>
      <x:c r="D68" s="21" t="str">
        <x:v>Integration</x:v>
      </x:c>
      <x:c r="E68" s="21" t="str">
        <x:v>NONE</x:v>
      </x:c>
      <x:c r="F68" s="21" t="str">
        <x:v>Mixed</x:v>
      </x:c>
      <x:c r="G68" s="21" t="str">
        <x:v>System boundaries are stated or strongly implied by the described components, configuration, and data flow.</x:v>
      </x:c>
    </x:row>
    <x:row r="69" ht="66" customHeight="1">
      <x:c r="A69" s="21" t="str">
        <x:v>SPEC-12</x:v>
      </x:c>
      <x:c r="B69" s="21" t="str">
        <x:v>Financial Report Layout Change — Move Third-Party Delivery Detail Section to Bottom</x:v>
      </x:c>
      <x:c r="C69" s="21" t="str">
        <x:v>MEDIUM</x:v>
      </x:c>
      <x:c r="D69" s="21" t="str">
        <x:v>Exploratory</x:v>
      </x:c>
      <x:c r="E69" s="21" t="str">
        <x:v>Test long delivery detail spanning pages; zero delivery data; multiple delivery partners; page breaks/headers/footers</x:v>
      </x:c>
      <x:c r="F69" s="21" t="str">
        <x:v>Implicit</x:v>
      </x:c>
      <x:c r="G69" s="21" t="str">
        <x:v>Timing, recovery, boundary, and state-transition checks are inferred from plausible failure modes of the stated change.</x:v>
      </x:c>
    </x:row>
    <x:row r="70" ht="66" customHeight="1">
      <x:c r="A70" s="21" t="str">
        <x:v>SPEC-12</x:v>
      </x:c>
      <x:c r="B70" s="21" t="str">
        <x:v>Financial Report Layout Change — Move Third-Party Delivery Detail Section to Bottom</x:v>
      </x:c>
      <x:c r="C70" s="21" t="str">
        <x:v>MEDIUM</x:v>
      </x:c>
      <x:c r="D70" s="21" t="str">
        <x:v>Clarification</x:v>
      </x:c>
      <x:c r="E70" s="21" t="str">
        <x:v>Clarify exact expected section ordering at bottom; clarify output formats requiring validation (screen/PDF/print/export)</x:v>
      </x:c>
      <x:c r="F70" s="21" t="str">
        <x:v>Mixed</x:v>
      </x:c>
      <x:c r="G70" s="21" t="str">
        <x:v>Questions are derived from missing or ambiguous acceptance details that materially affect expected results.</x:v>
      </x:c>
    </x:row>
    <x:row r="71" ht="66" customHeight="1">
      <x:c r="A71" s="21" t="str">
        <x:v>SPEC-13</x:v>
      </x:c>
      <x:c r="B71" s="21" t="str">
        <x:v>POS Hierarchy Zone Addition for Full-Menu Non-Traditional Store Locations</x:v>
      </x:c>
      <x:c r="C71" s="21" t="str">
        <x:v>HIGH</x:v>
      </x:c>
      <x:c r="D71" s="21" t="str">
        <x:v>Functional</x:v>
      </x:c>
      <x:c r="E71" s="21" t="str">
        <x:v>Assign property to new zone; verify standard brand POS configuration downloads; verify full-menu page design downloads; verify limited bakery/beverage-only page design is excluded; verify menu can be accessed on POS</x:v>
      </x:c>
      <x:c r="F71" s="21" t="str">
        <x:v>Explicit</x:v>
      </x:c>
      <x:c r="G71" s="21" t="str">
        <x:v>Directly grounded in the described change and acceptance behavior; adjacent checks are retained only where needed to prove the behavior end to end.</x:v>
      </x:c>
    </x:row>
    <x:row r="72" ht="66" customHeight="1">
      <x:c r="A72" s="21" t="str">
        <x:v>SPEC-13</x:v>
      </x:c>
      <x:c r="B72" s="21" t="str">
        <x:v>POS Hierarchy Zone Addition for Full-Menu Non-Traditional Store Locations</x:v>
      </x:c>
      <x:c r="C72" s="21" t="str">
        <x:v>HIGH</x:v>
      </x:c>
      <x:c r="D72" s="21" t="str">
        <x:v>Smoke</x:v>
      </x:c>
      <x:c r="E72" s="21" t="str">
        <x:v>New zone exists; property can be assigned; POS receives expected full-menu configuration</x:v>
      </x:c>
      <x:c r="F72" s="21" t="str">
        <x:v>Implicit</x:v>
      </x:c>
      <x:c r="G72" s="21" t="str">
        <x:v>A minimal critical-path subset is inferred from the stated behavior so basic viability can be established before deeper testing.</x:v>
      </x:c>
    </x:row>
    <x:row r="73" ht="66" customHeight="1">
      <x:c r="A73" s="21" t="str">
        <x:v>SPEC-13</x:v>
      </x:c>
      <x:c r="B73" s="21" t="str">
        <x:v>POS Hierarchy Zone Addition for Full-Menu Non-Traditional Store Locations</x:v>
      </x:c>
      <x:c r="C73" s="21" t="str">
        <x:v>HIGH</x:v>
      </x:c>
      <x:c r="D73" s="21" t="str">
        <x:v>Regression</x:v>
      </x:c>
      <x:c r="E73" s="21" t="str">
        <x:v>Existing non-traditional zones retain limited configurations; standard traditional configuration unaffected; moving property between zones behaves correctly if supported</x:v>
      </x:c>
      <x:c r="F73" s="21" t="str">
        <x:v>Mixed</x:v>
      </x:c>
      <x:c r="G73" s="21" t="str">
        <x:v>The changed area is explicit; preservation of nearby unchanged behavior is inferred as necessary regression protection.</x:v>
      </x:c>
    </x:row>
    <x:row r="74" ht="66" customHeight="1">
      <x:c r="A74" s="21" t="str">
        <x:v>SPEC-13</x:v>
      </x:c>
      <x:c r="B74" s="21" t="str">
        <x:v>POS Hierarchy Zone Addition for Full-Menu Non-Traditional Store Locations</x:v>
      </x:c>
      <x:c r="C74" s="21" t="str">
        <x:v>HIGH</x:v>
      </x:c>
      <x:c r="D74" s="21" t="str">
        <x:v>Integration</x:v>
      </x:c>
      <x:c r="E74" s="21" t="str">
        <x:v>Validate hierarchy/zone inheritance through content/configuration distribution to POS</x:v>
      </x:c>
      <x:c r="F74" s="21" t="str">
        <x:v>Explicit</x:v>
      </x:c>
      <x:c r="G74" s="21" t="str">
        <x:v>The specification explicitly names the interacting systems or data/configuration path; consensus follows that stated boundary.</x:v>
      </x:c>
    </x:row>
    <x:row r="75" ht="66" customHeight="1">
      <x:c r="A75" s="21" t="str">
        <x:v>SPEC-13</x:v>
      </x:c>
      <x:c r="B75" s="21" t="str">
        <x:v>POS Hierarchy Zone Addition for Full-Menu Non-Traditional Store Locations</x:v>
      </x:c>
      <x:c r="C75" s="21" t="str">
        <x:v>HIGH</x:v>
      </x:c>
      <x:c r="D75" s="21" t="str">
        <x:v>Exploratory</x:v>
      </x:c>
      <x:c r="E75" s="21" t="str">
        <x:v>Reassign property between zones; fresh install versus existing POS; configuration refresh; inheritance when parent configuration changes</x:v>
      </x:c>
      <x:c r="F75" s="21" t="str">
        <x:v>Implicit</x:v>
      </x:c>
      <x:c r="G75" s="21" t="str">
        <x:v>Timing, recovery, boundary, and state-transition checks are inferred from plausible failure modes of the stated change.</x:v>
      </x:c>
    </x:row>
    <x:row r="76" ht="66" customHeight="1">
      <x:c r="A76" s="21" t="str">
        <x:v>SPEC-13</x:v>
      </x:c>
      <x:c r="B76" s="21" t="str">
        <x:v>POS Hierarchy Zone Addition for Full-Menu Non-Traditional Store Locations</x:v>
      </x:c>
      <x:c r="C76" s="21" t="str">
        <x:v>HIGH</x:v>
      </x:c>
      <x:c r="D76" s="21" t="str">
        <x:v>Clarification</x:v>
      </x:c>
      <x:c r="E76" s="21" t="str">
        <x:v>Clarify exact parent hierarchy/inheritance priority; clarify which standard configuration/pages identify success; clarify existing property migration expectations</x:v>
      </x:c>
      <x:c r="F76" s="21" t="str">
        <x:v>Mixed</x:v>
      </x:c>
      <x:c r="G76" s="21" t="str">
        <x:v>Questions are derived from missing or ambiguous acceptance details that materially affect expected results.</x:v>
      </x:c>
    </x:row>
    <x:row r="77" ht="66" customHeight="1">
      <x:c r="A77" s="21" t="str">
        <x:v>SPEC-14</x:v>
      </x:c>
      <x:c r="B77" s="21" t="str">
        <x:v>Digital Ordering App Version Upgrade — Multi-Device and Multi-OS Compatibility Testing</x:v>
      </x:c>
      <x:c r="C77" s="21" t="str">
        <x:v>HIGH</x:v>
      </x:c>
      <x:c r="D77" s="21" t="str">
        <x:v>Functional</x:v>
      </x:c>
      <x:c r="E77" s="21" t="str">
        <x:v>Install/upgrade new app version; execute standard ordering functionality on Gen10/iOS18.5; Gen11/iOS18.5; Gen10/iOS26.1; Gen11/iOS26.1; validate behavior changes once release notes arrive</x:v>
      </x:c>
      <x:c r="F77" s="21" t="str">
        <x:v>Explicit</x:v>
      </x:c>
      <x:c r="G77" s="21" t="str">
        <x:v>Directly grounded in the described change and acceptance behavior; adjacent checks are retained only where needed to prove the behavior end to end.</x:v>
      </x:c>
    </x:row>
    <x:row r="78" ht="66" customHeight="1">
      <x:c r="A78" s="21" t="str">
        <x:v>SPEC-14</x:v>
      </x:c>
      <x:c r="B78" s="21" t="str">
        <x:v>Digital Ordering App Version Upgrade — Multi-Device and Multi-OS Compatibility Testing</x:v>
      </x:c>
      <x:c r="C78" s="21" t="str">
        <x:v>HIGH</x:v>
      </x:c>
      <x:c r="D78" s="21" t="str">
        <x:v>Smoke</x:v>
      </x:c>
      <x:c r="E78" s="21" t="str">
        <x:v>App launches; user can access core flow; basic order can be placed on each required combination</x:v>
      </x:c>
      <x:c r="F78" s="21" t="str">
        <x:v>Implicit</x:v>
      </x:c>
      <x:c r="G78" s="21" t="str">
        <x:v>A minimal critical-path subset is inferred from the stated behavior so basic viability can be established before deeper testing.</x:v>
      </x:c>
    </x:row>
    <x:row r="79" ht="66" customHeight="1">
      <x:c r="A79" s="21" t="str">
        <x:v>SPEC-14</x:v>
      </x:c>
      <x:c r="B79" s="21" t="str">
        <x:v>Digital Ordering App Version Upgrade — Multi-Device and Multi-OS Compatibility Testing</x:v>
      </x:c>
      <x:c r="C79" s="21" t="str">
        <x:v>HIGH</x:v>
      </x:c>
      <x:c r="D79" s="21" t="str">
        <x:v>Regression</x:v>
      </x:c>
      <x:c r="E79" s="21" t="str">
        <x:v>Run core regression on current production iOS 18.5; verify existing standard app functionality; verify no critical UI/device compatibility regressions</x:v>
      </x:c>
      <x:c r="F79" s="21" t="str">
        <x:v>Mixed</x:v>
      </x:c>
      <x:c r="G79" s="21" t="str">
        <x:v>The changed area is explicit; preservation of nearby unchanged behavior is inferred as necessary regression protection.</x:v>
      </x:c>
    </x:row>
    <x:row r="80" ht="66" customHeight="1">
      <x:c r="A80" s="21" t="str">
        <x:v>SPEC-14</x:v>
      </x:c>
      <x:c r="B80" s="21" t="str">
        <x:v>Digital Ordering App Version Upgrade — Multi-Device and Multi-OS Compatibility Testing</x:v>
      </x:c>
      <x:c r="C80" s="21" t="str">
        <x:v>HIGH</x:v>
      </x:c>
      <x:c r="D80" s="21" t="str">
        <x:v>Integration</x:v>
      </x:c>
      <x:c r="E80" s="21" t="str">
        <x:v>Validate normal app backend/order submission interfaces during core flows</x:v>
      </x:c>
      <x:c r="F80" s="21" t="str">
        <x:v>Mixed</x:v>
      </x:c>
      <x:c r="G80" s="21" t="str">
        <x:v>System boundaries are stated or strongly implied by the described components, configuration, and data flow.</x:v>
      </x:c>
    </x:row>
    <x:row r="81" ht="66" customHeight="1">
      <x:c r="A81" s="21" t="str">
        <x:v>SPEC-14</x:v>
      </x:c>
      <x:c r="B81" s="21" t="str">
        <x:v>Digital Ordering App Version Upgrade — Multi-Device and Multi-OS Compatibility Testing</x:v>
      </x:c>
      <x:c r="C81" s="21" t="str">
        <x:v>HIGH</x:v>
      </x:c>
      <x:c r="D81" s="21" t="str">
        <x:v>Exploratory</x:v>
      </x:c>
      <x:c r="E81" s="21" t="str">
        <x:v>Orientation/backgrounding; network interruption; app restart; device performance; permission prompts; OS-specific UI behavior</x:v>
      </x:c>
      <x:c r="F81" s="21" t="str">
        <x:v>Implicit</x:v>
      </x:c>
      <x:c r="G81" s="21" t="str">
        <x:v>Timing, recovery, boundary, and state-transition checks are inferred from plausible failure modes of the stated change.</x:v>
      </x:c>
    </x:row>
    <x:row r="82" ht="66" customHeight="1">
      <x:c r="A82" s="21" t="str">
        <x:v>SPEC-14</x:v>
      </x:c>
      <x:c r="B82" s="21" t="str">
        <x:v>Digital Ordering App Version Upgrade — Multi-Device and Multi-OS Compatibility Testing</x:v>
      </x:c>
      <x:c r="C82" s="21" t="str">
        <x:v>HIGH</x:v>
      </x:c>
      <x:c r="D82" s="21" t="str">
        <x:v>Clarification</x:v>
      </x:c>
      <x:c r="E82" s="21" t="str">
        <x:v>Need vendor release notes; clarify core regression suite; confirm whether fresh install and upgrade paths both required; clarify supported device/OS matrix if vendor restrictions exist</x:v>
      </x:c>
      <x:c r="F82" s="21" t="str">
        <x:v>Mixed</x:v>
      </x:c>
      <x:c r="G82" s="21" t="str">
        <x:v>Questions are derived from missing or ambiguous acceptance details that materially affect expected results.</x:v>
      </x:c>
    </x:row>
    <x:row r="83" ht="66" customHeight="1">
      <x:c r="A83" s="21" t="str">
        <x:v>SPEC-15</x:v>
      </x:c>
      <x:c r="B83" s="21" t="str">
        <x:v>Gift Card Transaction Cancel Messaging Fix — Validate Correct Terminal Display With Cloud Processing Disabled</x:v>
      </x:c>
      <x:c r="C83" s="21" t="str">
        <x:v>MEDIUM</x:v>
      </x:c>
      <x:c r="D83" s="21" t="str">
        <x:v>Functional</x:v>
      </x:c>
      <x:c r="E83" s="21" t="str">
        <x:v>Disable backend cloud processing; initiate gift card transaction; cancel transaction; verify terminal displays exactly CANCEL TRANSACTION; verify incorrect VOID NEW ITEMS AND CANCEL TRANSACTION message no longer appears</x:v>
      </x:c>
      <x:c r="F83" s="21" t="str">
        <x:v>Explicit</x:v>
      </x:c>
      <x:c r="G83" s="21" t="str">
        <x:v>Directly grounded in the described change and acceptance behavior; adjacent checks are retained only where needed to prove the behavior end to end.</x:v>
      </x:c>
    </x:row>
    <x:row r="84" ht="66" customHeight="1">
      <x:c r="A84" s="21" t="str">
        <x:v>SPEC-15</x:v>
      </x:c>
      <x:c r="B84" s="21" t="str">
        <x:v>Gift Card Transaction Cancel Messaging Fix — Validate Correct Terminal Display With Cloud Processing Disabled</x:v>
      </x:c>
      <x:c r="C84" s="21" t="str">
        <x:v>MEDIUM</x:v>
      </x:c>
      <x:c r="D84" s="21" t="str">
        <x:v>Smoke</x:v>
      </x:c>
      <x:c r="E84" s="21" t="str">
        <x:v>Configuration loads; gift card flow launches; cancel operation returns safely to POS</x:v>
      </x:c>
      <x:c r="F84" s="21" t="str">
        <x:v>Implicit</x:v>
      </x:c>
      <x:c r="G84" s="21" t="str">
        <x:v>A minimal critical-path subset is inferred from the stated behavior so basic viability can be established before deeper testing.</x:v>
      </x:c>
    </x:row>
    <x:row r="85" ht="66" customHeight="1">
      <x:c r="A85" s="21" t="str">
        <x:v>SPEC-15</x:v>
      </x:c>
      <x:c r="B85" s="21" t="str">
        <x:v>Gift Card Transaction Cancel Messaging Fix — Validate Correct Terminal Display With Cloud Processing Disabled</x:v>
      </x:c>
      <x:c r="C85" s="21" t="str">
        <x:v>MEDIUM</x:v>
      </x:c>
      <x:c r="D85" s="21" t="str">
        <x:v>Regression</x:v>
      </x:c>
      <x:c r="E85" s="21" t="str">
        <x:v>Normal gift card purchase/activation/redemption flows remain functional as applicable; normal POS cancellation messages for unrelated transaction types remain unchanged</x:v>
      </x:c>
      <x:c r="F85" s="21" t="str">
        <x:v>Mixed</x:v>
      </x:c>
      <x:c r="G85" s="21" t="str">
        <x:v>The changed area is explicit; preservation of nearby unchanged behavior is inferred as necessary regression protection.</x:v>
      </x:c>
    </x:row>
    <x:row r="86" ht="66" customHeight="1">
      <x:c r="A86" s="21" t="str">
        <x:v>SPEC-15</x:v>
      </x:c>
      <x:c r="B86" s="21" t="str">
        <x:v>Gift Card Transaction Cancel Messaging Fix — Validate Correct Terminal Display With Cloud Processing Disabled</x:v>
      </x:c>
      <x:c r="C86" s="21" t="str">
        <x:v>MEDIUM</x:v>
      </x:c>
      <x:c r="D86" s="21" t="str">
        <x:v>Integration</x:v>
      </x:c>
      <x:c r="E86" s="21" t="str">
        <x:v>Validate POS-to-payment/gift-card terminal messaging with cloud processing disabled</x:v>
      </x:c>
      <x:c r="F86" s="21" t="str">
        <x:v>Mixed</x:v>
      </x:c>
      <x:c r="G86" s="21" t="str">
        <x:v>System boundaries are stated or strongly implied by the described components, configuration, and data flow.</x:v>
      </x:c>
    </x:row>
    <x:row r="87" ht="66" customHeight="1">
      <x:c r="A87" s="21" t="str">
        <x:v>SPEC-15</x:v>
      </x:c>
      <x:c r="B87" s="21" t="str">
        <x:v>Gift Card Transaction Cancel Messaging Fix — Validate Correct Terminal Display With Cloud Processing Disabled</x:v>
      </x:c>
      <x:c r="C87" s="21" t="str">
        <x:v>MEDIUM</x:v>
      </x:c>
      <x:c r="D87" s="21" t="str">
        <x:v>Exploratory</x:v>
      </x:c>
      <x:c r="E87" s="21" t="str">
        <x:v>Cancel at different stages; repeat cancellations; different operator role; restart after config update</x:v>
      </x:c>
      <x:c r="F87" s="21" t="str">
        <x:v>Implicit</x:v>
      </x:c>
      <x:c r="G87" s="21" t="str">
        <x:v>Timing, recovery, boundary, and state-transition checks are inferred from plausible failure modes of the stated change.</x:v>
      </x:c>
    </x:row>
    <x:row r="88" ht="66" customHeight="1">
      <x:c r="A88" s="21" t="str">
        <x:v>SPEC-15</x:v>
      </x:c>
      <x:c r="B88" s="21" t="str">
        <x:v>Gift Card Transaction Cancel Messaging Fix — Validate Correct Terminal Display With Cloud Processing Disabled</x:v>
      </x:c>
      <x:c r="C88" s="21" t="str">
        <x:v>MEDIUM</x:v>
      </x:c>
      <x:c r="D88" s="21" t="str">
        <x:v>Clarification</x:v>
      </x:c>
      <x:c r="E88" s="21" t="str">
        <x:v>Clarify exact gift card transaction type(s); clarify whether validation is needed with cloud processing enabled too; confirm affected POS/config versions</x:v>
      </x:c>
      <x:c r="F88" s="21" t="str">
        <x:v>Mixed</x:v>
      </x:c>
      <x:c r="G88" s="21" t="str">
        <x:v>Questions are derived from missing or ambiguous acceptance details that materially affect expected results.</x:v>
      </x:c>
    </x:row>
    <x:row r="89" ht="66" customHeight="1">
      <x:c r="A89" s="21" t="str">
        <x:v>SPEC-16</x:v>
      </x:c>
      <x:c r="B89" s="21" t="str">
        <x:v>Regression Testing for Existing Serialized Coupons After New Promotional BIN Ranges Added</x:v>
      </x:c>
      <x:c r="C89" s="21" t="str">
        <x:v>MEDIUM</x:v>
      </x:c>
      <x:c r="D89" s="21" t="str">
        <x:v>Functional</x:v>
      </x:c>
      <x:c r="E89" s="21" t="str">
        <x:v>Process representative existing serialized coupons using current BIN ranges; verify correct recognition; verify expected discount; verify valid/invalid handling; cover representative existing coupon types</x:v>
      </x:c>
      <x:c r="F89" s="21" t="str">
        <x:v>Explicit</x:v>
      </x:c>
      <x:c r="G89" s="21" t="str">
        <x:v>Directly grounded in the described change and acceptance behavior; adjacent checks are retained only where needed to prove the behavior end to end.</x:v>
      </x:c>
    </x:row>
    <x:row r="90" ht="66" customHeight="1">
      <x:c r="A90" s="21" t="str">
        <x:v>SPEC-16</x:v>
      </x:c>
      <x:c r="B90" s="21" t="str">
        <x:v>Regression Testing for Existing Serialized Coupons After New Promotional BIN Ranges Added</x:v>
      </x:c>
      <x:c r="C90" s="21" t="str">
        <x:v>MEDIUM</x:v>
      </x:c>
      <x:c r="D90" s="21" t="str">
        <x:v>Smoke</x:v>
      </x:c>
      <x:c r="E90" s="21" t="str">
        <x:v>Existing serialized coupon scans/applies successfully after new records are added; transaction completes</x:v>
      </x:c>
      <x:c r="F90" s="21" t="str">
        <x:v>Implicit</x:v>
      </x:c>
      <x:c r="G90" s="21" t="str">
        <x:v>A minimal critical-path subset is inferred from the stated behavior so basic viability can be established before deeper testing.</x:v>
      </x:c>
    </x:row>
    <x:row r="91" ht="66" customHeight="1">
      <x:c r="A91" s="21" t="str">
        <x:v>SPEC-16</x:v>
      </x:c>
      <x:c r="B91" s="21" t="str">
        <x:v>Regression Testing for Existing Serialized Coupons After New Promotional BIN Ranges Added</x:v>
      </x:c>
      <x:c r="C91" s="21" t="str">
        <x:v>MEDIUM</x:v>
      </x:c>
      <x:c r="D91" s="21" t="str">
        <x:v>Regression</x:v>
      </x:c>
      <x:c r="E91" s="21" t="str">
        <x:v>Regression of current BIN ranges; multiple existing discounts; invalid/expired/already-used coupon behavior if available; verify no collision with new ranges</x:v>
      </x:c>
      <x:c r="F91" s="21" t="str">
        <x:v>Mixed</x:v>
      </x:c>
      <x:c r="G91" s="21" t="str">
        <x:v>The changed area is explicit; preservation of nearby unchanged behavior is inferred as necessary regression protection.</x:v>
      </x:c>
    </x:row>
    <x:row r="92" ht="66" customHeight="1">
      <x:c r="A92" s="21" t="str">
        <x:v>SPEC-16</x:v>
      </x:c>
      <x:c r="B92" s="21" t="str">
        <x:v>Regression Testing for Existing Serialized Coupons After New Promotional BIN Ranges Added</x:v>
      </x:c>
      <x:c r="C92" s="21" t="str">
        <x:v>MEDIUM</x:v>
      </x:c>
      <x:c r="D92" s="21" t="str">
        <x:v>Integration</x:v>
      </x:c>
      <x:c r="E92" s="21" t="str">
        <x:v>Validate CMS configuration is delivered to POS and existing coupon processing continues to recognize serialized ranges</x:v>
      </x:c>
      <x:c r="F92" s="21" t="str">
        <x:v>Mixed</x:v>
      </x:c>
      <x:c r="G92" s="21" t="str">
        <x:v>System boundaries are stated or strongly implied by the described components, configuration, and data flow.</x:v>
      </x:c>
    </x:row>
    <x:row r="93" ht="66" customHeight="1">
      <x:c r="A93" s="21" t="str">
        <x:v>SPEC-16</x:v>
      </x:c>
      <x:c r="B93" s="21" t="str">
        <x:v>Regression Testing for Existing Serialized Coupons After New Promotional BIN Ranges Added</x:v>
      </x:c>
      <x:c r="C93" s="21" t="str">
        <x:v>MEDIUM</x:v>
      </x:c>
      <x:c r="D93" s="21" t="str">
        <x:v>Exploratory</x:v>
      </x:c>
      <x:c r="E93" s="21" t="str">
        <x:v>Test BIN boundary values; similar prefixes; multiple coupons in one transaction; manual versus scan entry if supported</x:v>
      </x:c>
      <x:c r="F93" s="21" t="str">
        <x:v>Implicit</x:v>
      </x:c>
      <x:c r="G93" s="21" t="str">
        <x:v>Timing, recovery, boundary, and state-transition checks are inferred from plausible failure modes of the stated change.</x:v>
      </x:c>
    </x:row>
    <x:row r="94" ht="66" customHeight="1">
      <x:c r="A94" s="21" t="str">
        <x:v>SPEC-16</x:v>
      </x:c>
      <x:c r="B94" s="21" t="str">
        <x:v>Regression Testing for Existing Serialized Coupons After New Promotional BIN Ranges Added</x:v>
      </x:c>
      <x:c r="C94" s="21" t="str">
        <x:v>MEDIUM</x:v>
      </x:c>
      <x:c r="D94" s="21" t="str">
        <x:v>Clarification</x:v>
      </x:c>
      <x:c r="E94" s="21" t="str">
        <x:v>Clarify representative existing BIN ranges/coupon inventory; clarify stacking rules needed for regression; confirm production deployment validation scope</x:v>
      </x:c>
      <x:c r="F94" s="21" t="str">
        <x:v>Mixed</x:v>
      </x:c>
      <x:c r="G94" s="21" t="str">
        <x:v>Questions are derived from missing or ambiguous acceptance details that materially affect expected results.</x:v>
      </x:c>
    </x:row>
    <x:row r="95" ht="66" customHeight="1">
      <x:c r="A95" s="21" t="str">
        <x:v>SPEC-17</x:v>
      </x:c>
      <x:c r="B95" s="21" t="str">
        <x:v>Antivirus Exclusion Script Deployment for Remote Management Tool — POS Terminal Validation</x:v>
      </x:c>
      <x:c r="C95" s="21" t="str">
        <x:v>HIGH</x:v>
      </x:c>
      <x:c r="D95" s="21" t="str">
        <x:v>Functional</x:v>
      </x:c>
      <x:c r="E95" s="21" t="str">
        <x:v>Run exclusion script in required lab environments; verify Windows Defender exclusions are created correctly; launch/use remote tunneling tool; verify Defender no longer flags it; verify POS remains operational</x:v>
      </x:c>
      <x:c r="F95" s="21" t="str">
        <x:v>Explicit</x:v>
      </x:c>
      <x:c r="G95" s="21" t="str">
        <x:v>Directly grounded in the described change and acceptance behavior; adjacent checks are retained only where needed to prove the behavior end to end.</x:v>
      </x:c>
    </x:row>
    <x:row r="96" ht="66" customHeight="1">
      <x:c r="A96" s="21" t="str">
        <x:v>SPEC-17</x:v>
      </x:c>
      <x:c r="B96" s="21" t="str">
        <x:v>Antivirus Exclusion Script Deployment for Remote Management Tool — POS Terminal Validation</x:v>
      </x:c>
      <x:c r="C96" s="21" t="str">
        <x:v>HIGH</x:v>
      </x:c>
      <x:c r="D96" s="21" t="str">
        <x:v>Smoke</x:v>
      </x:c>
      <x:c r="E96" s="21" t="str">
        <x:v>Script completes successfully; exclusions appear; remote management connection succeeds; POS launches/functions</x:v>
      </x:c>
      <x:c r="F96" s="21" t="str">
        <x:v>Implicit</x:v>
      </x:c>
      <x:c r="G96" s="21" t="str">
        <x:v>A minimal critical-path subset is inferred from the stated behavior so basic viability can be established before deeper testing.</x:v>
      </x:c>
    </x:row>
    <x:row r="97" ht="66" customHeight="1">
      <x:c r="A97" s="21" t="str">
        <x:v>SPEC-17</x:v>
      </x:c>
      <x:c r="B97" s="21" t="str">
        <x:v>Antivirus Exclusion Script Deployment for Remote Management Tool — POS Terminal Validation</x:v>
      </x:c>
      <x:c r="C97" s="21" t="str">
        <x:v>HIGH</x:v>
      </x:c>
      <x:c r="D97" s="21" t="str">
        <x:v>Regression</x:v>
      </x:c>
      <x:c r="E97" s="21" t="str">
        <x:v>Standard POS sale remains functional; network connectivity remains intact; Defender remains active for unrelated threats/files; reboot does not break configuration</x:v>
      </x:c>
      <x:c r="F97" s="21" t="str">
        <x:v>Mixed</x:v>
      </x:c>
      <x:c r="G97" s="21" t="str">
        <x:v>The changed area is explicit; preservation of nearby unchanged behavior is inferred as necessary regression protection.</x:v>
      </x:c>
    </x:row>
    <x:row r="98" ht="66" customHeight="1">
      <x:c r="A98" s="21" t="str">
        <x:v>SPEC-17</x:v>
      </x:c>
      <x:c r="B98" s="21" t="str">
        <x:v>Antivirus Exclusion Script Deployment for Remote Management Tool — POS Terminal Validation</x:v>
      </x:c>
      <x:c r="C98" s="21" t="str">
        <x:v>HIGH</x:v>
      </x:c>
      <x:c r="D98" s="21" t="str">
        <x:v>Integration</x:v>
      </x:c>
      <x:c r="E98" s="21" t="str">
        <x:v>Validate Windows script/Defender configuration with remote management tool and remote-support connectivity</x:v>
      </x:c>
      <x:c r="F98" s="21" t="str">
        <x:v>Explicit</x:v>
      </x:c>
      <x:c r="G98" s="21" t="str">
        <x:v>The specification explicitly names the interacting systems or data/configuration path; consensus follows that stated boundary.</x:v>
      </x:c>
    </x:row>
    <x:row r="99" ht="66" customHeight="1">
      <x:c r="A99" s="21" t="str">
        <x:v>SPEC-17</x:v>
      </x:c>
      <x:c r="B99" s="21" t="str">
        <x:v>Antivirus Exclusion Script Deployment for Remote Management Tool — POS Terminal Validation</x:v>
      </x:c>
      <x:c r="C99" s="21" t="str">
        <x:v>HIGH</x:v>
      </x:c>
      <x:c r="D99" s="21" t="str">
        <x:v>Exploratory</x:v>
      </x:c>
      <x:c r="E99" s="21" t="str">
        <x:v>Re-run script; reboot after deployment; tool update/relaunch; remove/reapply exclusion in lab; verify script failure handling</x:v>
      </x:c>
      <x:c r="F99" s="21" t="str">
        <x:v>Implicit</x:v>
      </x:c>
      <x:c r="G99" s="21" t="str">
        <x:v>Timing, recovery, boundary, and state-transition checks are inferred from plausible failure modes of the stated change.</x:v>
      </x:c>
    </x:row>
    <x:row r="100" ht="66" customHeight="1">
      <x:c r="A100" s="21" t="str">
        <x:v>SPEC-17</x:v>
      </x:c>
      <x:c r="B100" s="21" t="str">
        <x:v>Antivirus Exclusion Script Deployment for Remote Management Tool — POS Terminal Validation</x:v>
      </x:c>
      <x:c r="C100" s="21" t="str">
        <x:v>HIGH</x:v>
      </x:c>
      <x:c r="D100" s="21" t="str">
        <x:v>Clarification</x:v>
      </x:c>
      <x:c r="E100" s="21" t="str">
        <x:v>Clarify exact excluded paths/processes/extensions; clarify supported Windows/POS versions; clarify whether exclusions must persist after upgrades; clarify required lab matrix</x:v>
      </x:c>
      <x:c r="F100" s="21" t="str">
        <x:v>Mixed</x:v>
      </x:c>
      <x:c r="G100" s="21" t="str">
        <x:v>Questions are derived from missing or ambiguous acceptance details that materially affect expected results.</x:v>
      </x:c>
    </x:row>
    <x:row r="101" ht="66" customHeight="1">
      <x:c r="A101" s="21" t="str">
        <x:v>SPEC-18</x:v>
      </x:c>
      <x:c r="B101" s="21" t="str">
        <x:v>POS Crew Notification Feature Enablement on POS Workstations</x:v>
      </x:c>
      <x:c r="C101" s="21" t="str">
        <x:v>HIGH</x:v>
      </x:c>
      <x:c r="D101" s="21" t="str">
        <x:v>Functional</x:v>
      </x:c>
      <x:c r="E101" s="21" t="str">
        <x:v>Create/schedule notification as authorized owner/manager; verify message appears when crew member clocks in; verify correct message/content/timing; test promotional/loyalty/upsell/policy message examples; verify management of scheduled notifications</x:v>
      </x:c>
      <x:c r="F101" s="21" t="str">
        <x:v>Explicit</x:v>
      </x:c>
      <x:c r="G101" s="21" t="str">
        <x:v>Directly grounded in the described change and acceptance behavior; adjacent checks are retained only where needed to prove the behavior end to end.</x:v>
      </x:c>
    </x:row>
    <x:row r="102" ht="66" customHeight="1">
      <x:c r="A102" s="21" t="str">
        <x:v>SPEC-18</x:v>
      </x:c>
      <x:c r="B102" s="21" t="str">
        <x:v>POS Crew Notification Feature Enablement on POS Workstations</x:v>
      </x:c>
      <x:c r="C102" s="21" t="str">
        <x:v>HIGH</x:v>
      </x:c>
      <x:c r="D102" s="21" t="str">
        <x:v>Smoke</x:v>
      </x:c>
      <x:c r="E102" s="21" t="str">
        <x:v>Notification can be created; crew clock-in triggers display; POS remains usable afterward</x:v>
      </x:c>
      <x:c r="F102" s="21" t="str">
        <x:v>Implicit</x:v>
      </x:c>
      <x:c r="G102" s="21" t="str">
        <x:v>A minimal critical-path subset is inferred from the stated behavior so basic viability can be established before deeper testing.</x:v>
      </x:c>
    </x:row>
    <x:row r="103" ht="66" customHeight="1">
      <x:c r="A103" s="21" t="str">
        <x:v>SPEC-18</x:v>
      </x:c>
      <x:c r="B103" s="21" t="str">
        <x:v>POS Crew Notification Feature Enablement on POS Workstations</x:v>
      </x:c>
      <x:c r="C103" s="21" t="str">
        <x:v>HIGH</x:v>
      </x:c>
      <x:c r="D103" s="21" t="str">
        <x:v>Regression</x:v>
      </x:c>
      <x:c r="E103" s="21" t="str">
        <x:v>Clock-in workflow remains functional; normal POS transaction flow unaffected; existing employee roles/permissions remain correct</x:v>
      </x:c>
      <x:c r="F103" s="21" t="str">
        <x:v>Mixed</x:v>
      </x:c>
      <x:c r="G103" s="21" t="str">
        <x:v>The changed area is explicit; preservation of nearby unchanged behavior is inferred as necessary regression protection.</x:v>
      </x:c>
    </x:row>
    <x:row r="104" ht="66" customHeight="1">
      <x:c r="A104" s="21" t="str">
        <x:v>SPEC-18</x:v>
      </x:c>
      <x:c r="B104" s="21" t="str">
        <x:v>POS Crew Notification Feature Enablement on POS Workstations</x:v>
      </x:c>
      <x:c r="C104" s="21" t="str">
        <x:v>HIGH</x:v>
      </x:c>
      <x:c r="D104" s="21" t="str">
        <x:v>Integration</x:v>
      </x:c>
      <x:c r="E104" s="21" t="str">
        <x:v>Validate notification management/configuration reaches POS workstation and is associated with employee clock-in</x:v>
      </x:c>
      <x:c r="F104" s="21" t="str">
        <x:v>Explicit</x:v>
      </x:c>
      <x:c r="G104" s="21" t="str">
        <x:v>The specification explicitly names the interacting systems or data/configuration path; consensus follows that stated boundary.</x:v>
      </x:c>
    </x:row>
    <x:row r="105" ht="66" customHeight="1">
      <x:c r="A105" s="21" t="str">
        <x:v>SPEC-18</x:v>
      </x:c>
      <x:c r="B105" s="21" t="str">
        <x:v>POS Crew Notification Feature Enablement on POS Workstations</x:v>
      </x:c>
      <x:c r="C105" s="21" t="str">
        <x:v>HIGH</x:v>
      </x:c>
      <x:c r="D105" s="21" t="str">
        <x:v>Exploratory</x:v>
      </x:c>
      <x:c r="E105" s="21" t="str">
        <x:v>Expired/future notification; multiple simultaneous notifications; long/special-character message; repeated clock-in; different workstation; offline workstation</x:v>
      </x:c>
      <x:c r="F105" s="21" t="str">
        <x:v>Implicit</x:v>
      </x:c>
      <x:c r="G105" s="21" t="str">
        <x:v>Timing, recovery, boundary, and state-transition checks are inferred from plausible failure modes of the stated change.</x:v>
      </x:c>
    </x:row>
    <x:row r="106" ht="66" customHeight="1">
      <x:c r="A106" s="21" t="str">
        <x:v>SPEC-18</x:v>
      </x:c>
      <x:c r="B106" s="21" t="str">
        <x:v>POS Crew Notification Feature Enablement on POS Workstations</x:v>
      </x:c>
      <x:c r="C106" s="21" t="str">
        <x:v>HIGH</x:v>
      </x:c>
      <x:c r="D106" s="21" t="str">
        <x:v>Clarification</x:v>
      </x:c>
      <x:c r="E106" s="21" t="str">
        <x:v>Clarify allowed creator roles; schedule granularity/timezone; acknowledgment/dismiss behavior; priority when multiple messages exist; message length/format limits; audit/history requirements</x:v>
      </x:c>
      <x:c r="F106" s="21" t="str">
        <x:v>Mixed</x:v>
      </x:c>
      <x:c r="G106" s="21" t="str">
        <x:v>Questions are derived from missing or ambiguous acceptance details that materially affect expected results.</x:v>
      </x:c>
    </x:row>
    <x:row r="107" ht="66" customHeight="1">
      <x:c r="A107" s="21" t="str">
        <x:v>SPEC-19</x:v>
      </x:c>
      <x:c r="B107" s="21" t="str">
        <x:v>Secondary DNS Provider Change — Broad System Regression Across All Network-Dependent Functions</x:v>
      </x:c>
      <x:c r="C107" s="21" t="str">
        <x:v>HIGH</x:v>
      </x:c>
      <x:c r="D107" s="21" t="str">
        <x:v>Functional</x:v>
      </x:c>
      <x:c r="E107" s="21" t="str">
        <x:v>Verify secondary DNS configured to Google Public DNS; verify normal DNS resolution; verify behavior when primary DNS is unavailable; validate each listed network-dependent function including payments, Wi-Fi, remote support, KDS routing, storing/picking, DMB/price changes, delivery, online ordering, gift card/loyalty offline mode, DB reload, reporting, employee creation, notifications and order alerts</x:v>
      </x:c>
      <x:c r="F107" s="21" t="str">
        <x:v>Explicit</x:v>
      </x:c>
      <x:c r="G107" s="21" t="str">
        <x:v>Directly grounded in the described change and acceptance behavior; adjacent checks are retained only where needed to prove the behavior end to end.</x:v>
      </x:c>
    </x:row>
    <x:row r="108" ht="66" customHeight="1">
      <x:c r="A108" s="21" t="str">
        <x:v>SPEC-19</x:v>
      </x:c>
      <x:c r="B108" s="21" t="str">
        <x:v>Secondary DNS Provider Change — Broad System Regression Across All Network-Dependent Functions</x:v>
      </x:c>
      <x:c r="C108" s="21" t="str">
        <x:v>HIGH</x:v>
      </x:c>
      <x:c r="D108" s="21" t="str">
        <x:v>Smoke</x:v>
      </x:c>
      <x:c r="E108" s="21" t="str">
        <x:v>Store network resolves hosts; POS reaches core services; payment connectivity works; online order reaches store</x:v>
      </x:c>
      <x:c r="F108" s="21" t="str">
        <x:v>Implicit</x:v>
      </x:c>
      <x:c r="G108" s="21" t="str">
        <x:v>A minimal critical-path subset is inferred from the stated behavior so basic viability can be established before deeper testing.</x:v>
      </x:c>
    </x:row>
    <x:row r="109" ht="66" customHeight="1">
      <x:c r="A109" s="21" t="str">
        <x:v>SPEC-19</x:v>
      </x:c>
      <x:c r="B109" s="21" t="str">
        <x:v>Secondary DNS Provider Change — Broad System Regression Across All Network-Dependent Functions</x:v>
      </x:c>
      <x:c r="C109" s="21" t="str">
        <x:v>HIGH</x:v>
      </x:c>
      <x:c r="D109" s="21" t="str">
        <x:v>Regression</x:v>
      </x:c>
      <x:c r="E109" s="21" t="str">
        <x:v>Broad regression of all listed network-dependent functions; confirm operation unchanged while primary DNS works; verify recovery after failover</x:v>
      </x:c>
      <x:c r="F109" s="21" t="str">
        <x:v>Explicit</x:v>
      </x:c>
      <x:c r="G109" s="21" t="str">
        <x:v>The specification explicitly requires regression coverage in this area; consensus retains the shared essential elements.</x:v>
      </x:c>
    </x:row>
    <x:row r="110" ht="66" customHeight="1">
      <x:c r="A110" s="21" t="str">
        <x:v>SPEC-19</x:v>
      </x:c>
      <x:c r="B110" s="21" t="str">
        <x:v>Secondary DNS Provider Change — Broad System Regression Across All Network-Dependent Functions</x:v>
      </x:c>
      <x:c r="C110" s="21" t="str">
        <x:v>HIGH</x:v>
      </x:c>
      <x:c r="D110" s="21" t="str">
        <x:v>Integration</x:v>
      </x:c>
      <x:c r="E110" s="21" t="str">
        <x:v>Validate DNS resolution for all external/internal integrations and secondary-DNS failover across connected systems</x:v>
      </x:c>
      <x:c r="F110" s="21" t="str">
        <x:v>Explicit</x:v>
      </x:c>
      <x:c r="G110" s="21" t="str">
        <x:v>The specification explicitly names the interacting systems or data/configuration path; consensus follows that stated boundary.</x:v>
      </x:c>
    </x:row>
    <x:row r="111" ht="66" customHeight="1">
      <x:c r="A111" s="21" t="str">
        <x:v>SPEC-19</x:v>
      </x:c>
      <x:c r="B111" s="21" t="str">
        <x:v>Secondary DNS Provider Change — Broad System Regression Across All Network-Dependent Functions</x:v>
      </x:c>
      <x:c r="C111" s="21" t="str">
        <x:v>HIGH</x:v>
      </x:c>
      <x:c r="D111" s="21" t="str">
        <x:v>Exploratory</x:v>
      </x:c>
      <x:c r="E111" s="21" t="str">
        <x:v>Primary DNS outage/failover; DNS cache behavior; device reboot; intermittent connectivity; recovery when primary returns; unresolved/invalid hostname behavior</x:v>
      </x:c>
      <x:c r="F111" s="21" t="str">
        <x:v>Implicit</x:v>
      </x:c>
      <x:c r="G111" s="21" t="str">
        <x:v>Timing, recovery, boundary, and state-transition checks are inferred from plausible failure modes of the stated change.</x:v>
      </x:c>
    </x:row>
    <x:row r="112" ht="66" customHeight="1">
      <x:c r="A112" s="22" t="str">
        <x:v>SPEC-19</x:v>
      </x:c>
      <x:c r="B112" s="22" t="str">
        <x:v>Secondary DNS Provider Change — Broad System Regression Across All Network-Dependent Functions</x:v>
      </x:c>
      <x:c r="C112" s="22" t="str">
        <x:v>HIGH</x:v>
      </x:c>
      <x:c r="D112" s="22" t="str">
        <x:v>Clarification</x:v>
      </x:c>
      <x:c r="E112" s="22" t="str">
        <x:v>Clarify failover test method; confirm Google DNS addresses/configuration; clarify which internal hostnames depend on private DNS; confirm required environments/store templates; define expected failover timing</x:v>
      </x:c>
      <x:c r="F112" s="22" t="str">
        <x:v>Mixed</x:v>
      </x:c>
      <x:c r="G112" s="22" t="str">
        <x:v>Questions are derived from missing or ambiguous acceptance details that materially affect expected results.</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7" hidden="0" customWidth="1"/>
    <x:col min="2" max="2" width="9" hidden="0" customWidth="1"/>
    <x:col min="3" max="3" width="112" hidden="0" customWidth="1"/>
  </x:cols>
  <x:sheetData>
    <x:row r="2">
      <x:c r="A2" s="2" t="str">
        <x:v>Frozen 1–5 scoring rubric</x:v>
      </x:c>
      <x:c r="B2" s="1"/>
      <x:c r="C2" s="1"/>
    </x:row>
    <x:row r="4">
      <x:c r="A4" s="3" t="str">
        <x:v>Protocol</x:v>
      </x:c>
      <x:c r="B4" t="str">
        <x:v>ATSR-SREP-R2-v1.0</x:v>
      </x:c>
    </x:row>
    <x:row r="5">
      <x:c r="A5" s="3" t="str">
        <x:v>Status</x:v>
      </x:c>
      <x:c r="B5" t="str">
        <x:v>Final and frozen</x:v>
      </x:c>
    </x:row>
    <x:row r="6">
      <x:c r="A6" s="3" t="str">
        <x:v>Freeze date</x:v>
      </x:c>
      <x:c r="B6" t="str">
        <x:v>2026-09-14</x:v>
      </x:c>
    </x:row>
    <x:row r="7">
      <x:c r="A7" s="3" t="str">
        <x:v>SHA-256</x:v>
      </x:c>
      <x:c r="B7" t="str">
        <x:v>dcf39358be89355afc013cdccf55888ca5a96b02862e763c5c39a9acb07b2355</x:v>
      </x:c>
    </x:row>
    <x:row r="9">
      <x:c r="A9" s="13" t="str">
        <x:v>Dimension</x:v>
      </x:c>
      <x:c r="B9" s="13" t="str">
        <x:v>Score</x:v>
      </x:c>
      <x:c r="C9" s="13" t="str">
        <x:v>Anchor</x:v>
      </x:c>
    </x:row>
    <x:row r="10" ht="54" customHeight="1">
      <x:c r="A10" s="20" t="str">
        <x:v>Completeness</x:v>
      </x:c>
      <x:c r="B10" s="20" t="n">
        <x:v>5</x:v>
      </x:c>
      <x:c r="C10" s="20" t="str">
        <x:v>Covers every critical and important consensus element across all relevant test types. No material gap remains.</x:v>
      </x:c>
    </x:row>
    <x:row r="11" ht="54" customHeight="1">
      <x:c r="A11" s="21" t="str">
        <x:v>Completeness</x:v>
      </x:c>
      <x:c r="B11" s="21" t="n">
        <x:v>4</x:v>
      </x:c>
      <x:c r="C11" s="21" t="str">
        <x:v>Covers every critical element and nearly all important elements. At most one minor or narrowly bounded gap remains.</x:v>
      </x:c>
    </x:row>
    <x:row r="12" ht="54" customHeight="1">
      <x:c r="A12" s="21" t="str">
        <x:v>Completeness</x:v>
      </x:c>
      <x:c r="B12" s="21" t="n">
        <x:v>3</x:v>
      </x:c>
      <x:c r="C12" s="21" t="str">
        <x:v>Covers the core changed behavior and the main test type, but misses one important secondary area or several minor elements. The plan remains usable with supplementation.</x:v>
      </x:c>
    </x:row>
    <x:row r="13" ht="54" customHeight="1">
      <x:c r="A13" s="21" t="str">
        <x:v>Completeness</x:v>
      </x:c>
      <x:c r="B13" s="21" t="n">
        <x:v>2</x:v>
      </x:c>
      <x:c r="C13" s="21" t="str">
        <x:v>Misses a critical element or multiple important areas. The plan would create a meaningful coverage risk without substantial additions.</x:v>
      </x:c>
    </x:row>
    <x:row r="14" ht="54" customHeight="1">
      <x:c r="A14" s="21" t="str">
        <x:v>Completeness</x:v>
      </x:c>
      <x:c r="B14" s="21" t="n">
        <x:v>1</x:v>
      </x:c>
      <x:c r="C14" s="21" t="str">
        <x:v>Misses the core changed behavior or most relevant test types. The proposed scope is fundamentally inadequate or largely unrelated.</x:v>
      </x:c>
    </x:row>
    <x:row r="15" ht="54" customHeight="1">
      <x:c r="A15" s="21" t="str">
        <x:v>Specificity</x:v>
      </x:c>
      <x:c r="B15" s="21" t="n">
        <x:v>5</x:v>
      </x:c>
      <x:c r="C15" s="21" t="str">
        <x:v>Nearly every material item identifies a concrete behavior or scenario, relevant context or boundary, and an observable expected result. A practitioner could translate the scope into tests with minimal interpretation.</x:v>
      </x:c>
    </x:row>
    <x:row r="16" ht="54" customHeight="1">
      <x:c r="A16" s="21" t="str">
        <x:v>Specificity</x:v>
      </x:c>
      <x:c r="B16" s="21" t="n">
        <x:v>4</x:v>
      </x:c>
      <x:c r="C16" s="21" t="str">
        <x:v>The recommendation is actionable overall. Most material items contain concrete scenarios and outcomes, with only minor vagueness or a few generic supporting items.</x:v>
      </x:c>
    </x:row>
    <x:row r="17" ht="54" customHeight="1">
      <x:c r="A17" s="21" t="str">
        <x:v>Specificity</x:v>
      </x:c>
      <x:c r="B17" s="21" t="n">
        <x:v>3</x:v>
      </x:c>
      <x:c r="C17" s="21" t="str">
        <x:v>The core items are understandable, but concrete inputs, boundaries, system states, or expected results are inconsistently supplied. Moderate interpretation is needed.</x:v>
      </x:c>
    </x:row>
    <x:row r="18" ht="54" customHeight="1">
      <x:c r="A18" s="21" t="str">
        <x:v>Specificity</x:v>
      </x:c>
      <x:c r="B18" s="21" t="n">
        <x:v>2</x:v>
      </x:c>
      <x:c r="C18" s="21" t="str">
        <x:v>Most items are category labels or generic directives such as “test edge cases” or “verify integration.” Significant interpretation is needed before execution.</x:v>
      </x:c>
    </x:row>
    <x:row r="19" ht="54" customHeight="1">
      <x:c r="A19" s="21" t="str">
        <x:v>Specificity</x:v>
      </x:c>
      <x:c r="B19" s="21" t="n">
        <x:v>1</x:v>
      </x:c>
      <x:c r="C19" s="21" t="str">
        <x:v>The content is predominantly boilerplate, tautological, internally incoherent, or too vague to guide test design.</x:v>
      </x:c>
    </x:row>
    <x:row r="20" ht="54" customHeight="1">
      <x:c r="A20" s="21" t="str">
        <x:v>Risk Calibration</x:v>
      </x:c>
      <x:c r="B20" s="21" t="n">
        <x:v>5</x:v>
      </x:c>
      <x:c r="C20" s="21" t="str">
        <x:v>The depth exactly matches consensus and the justification accurately connects change type, impact, breadth, and material failure risks.</x:v>
      </x:c>
    </x:row>
    <x:row r="21" ht="54" customHeight="1">
      <x:c r="A21" s="21" t="str">
        <x:v>Risk Calibration</x:v>
      </x:c>
      <x:c r="B21" s="21" t="n">
        <x:v>4</x:v>
      </x:c>
      <x:c r="C21" s="21" t="str">
        <x:v>The depth exactly matches consensus and the justification is sound but incomplete or somewhat generic.</x:v>
      </x:c>
    </x:row>
    <x:row r="22" ht="54" customHeight="1">
      <x:c r="A22" s="21" t="str">
        <x:v>Risk Calibration</x:v>
      </x:c>
      <x:c r="B22" s="21" t="n">
        <x:v>3</x:v>
      </x:c>
      <x:c r="C22" s="21" t="str">
        <x:v>The depth differs by one level but is reasonably defensible from ambiguity recorded in the consensus, or the depth matches but the justification is materially weak or partly contradictory.</x:v>
      </x:c>
    </x:row>
    <x:row r="23" ht="54" customHeight="1">
      <x:c r="A23" s="21" t="str">
        <x:v>Risk Calibration</x:v>
      </x:c>
      <x:c r="B23" s="21" t="n">
        <x:v>2</x:v>
      </x:c>
      <x:c r="C23" s="21" t="str">
        <x:v>The depth differs by one level without a sound case, or it matches only superficially while the justification materially misreads the risk.</x:v>
      </x:c>
    </x:row>
    <x:row r="24" ht="54" customHeight="1">
      <x:c r="A24" s="21" t="str">
        <x:v>Risk Calibration</x:v>
      </x:c>
      <x:c r="B24" s="21" t="n">
        <x:v>1</x:v>
      </x:c>
      <x:c r="C24" s="21" t="str">
        <x:v>The depth differs by two levels, is absent/invalid, or is plainly incompatible with the scale and the change's risk.</x:v>
      </x:c>
    </x:row>
    <x:row r="25" ht="54" customHeight="1">
      <x:c r="A25" s="21" t="str">
        <x:v>Integration Awareness</x:v>
      </x:c>
      <x:c r="B25" s="21" t="n">
        <x:v>5</x:v>
      </x:c>
      <x:c r="C25" s="21" t="str">
        <x:v>Identifies every critical and important consensus integration boundary and states how behavior or data should be checked across each one. If no external integration is relevant, it correctly limits the scope and addresses the material internal boundary.</x:v>
      </x:c>
    </x:row>
    <x:row r="26" ht="54" customHeight="1">
      <x:c r="A26" s="21" t="str">
        <x:v>Integration Awareness</x:v>
      </x:c>
      <x:c r="B26" s="21" t="n">
        <x:v>4</x:v>
      </x:c>
      <x:c r="C26" s="21" t="str">
        <x:v>Covers every critical boundary and most important dependencies, with at most one minor touchpoint or consequence omitted.</x:v>
      </x:c>
    </x:row>
    <x:row r="27" ht="54" customHeight="1">
      <x:c r="A27" s="21" t="str">
        <x:v>Integration Awareness</x:v>
      </x:c>
      <x:c r="B27" s="21" t="n">
        <x:v>3</x:v>
      </x:c>
      <x:c r="C27" s="21" t="str">
        <x:v>Covers the main end-to-end path but misses an important secondary dependency, failure path, or downstream effect.</x:v>
      </x:c>
    </x:row>
    <x:row r="28" ht="54" customHeight="1">
      <x:c r="A28" s="21" t="str">
        <x:v>Integration Awareness</x:v>
      </x:c>
      <x:c r="B28" s="21" t="n">
        <x:v>2</x:v>
      </x:c>
      <x:c r="C28" s="21" t="str">
        <x:v>Mentions integration only at a surface level, tests one side of the boundary, or misses a critical dependency.</x:v>
      </x:c>
    </x:row>
    <x:row r="29" ht="54" customHeight="1">
      <x:c r="A29" s="21" t="str">
        <x:v>Integration Awareness</x:v>
      </x:c>
      <x:c r="B29" s="21" t="n">
        <x:v>1</x:v>
      </x:c>
      <x:c r="C29" s="21" t="str">
        <x:v>Integration considerations are absent, substantially incorrect, or replaced by invented systems that obscure the actual boundary.</x:v>
      </x:c>
    </x:row>
    <x:row r="30" ht="54" customHeight="1">
      <x:c r="A30" s="21" t="str">
        <x:v>Clarification Flag Quality</x:v>
      </x:c>
      <x:c r="B30" s="21" t="n">
        <x:v>5</x:v>
      </x:c>
      <x:c r="C30" s="21" t="str">
        <x:v>Captures all material consensus ambiguities with targeted, actionable questions and no distracting boilerplate. If no material ambiguity exists, explicitly or appropriately supplies no flags.</x:v>
      </x:c>
    </x:row>
    <x:row r="31" ht="54" customHeight="1">
      <x:c r="A31" s="21" t="str">
        <x:v>Clarification Flag Quality</x:v>
      </x:c>
      <x:c r="B31" s="21" t="n">
        <x:v>4</x:v>
      </x:c>
      <x:c r="C31" s="21" t="str">
        <x:v>Captures the most important ambiguities. One minor question is missing, vague, or low-value.</x:v>
      </x:c>
    </x:row>
    <x:row r="32" ht="54" customHeight="1">
      <x:c r="A32" s="21" t="str">
        <x:v>Clarification Flag Quality</x:v>
      </x:c>
      <x:c r="B32" s="21" t="n">
        <x:v>3</x:v>
      </x:c>
      <x:c r="C32" s="21" t="str">
        <x:v>Includes at least one useful question but mixes it with generic items, or misses another important ambiguity. Answers would improve only part of the plan.</x:v>
      </x:c>
    </x:row>
    <x:row r="33" ht="54" customHeight="1">
      <x:c r="A33" s="21" t="str">
        <x:v>Clarification Flag Quality</x:v>
      </x:c>
      <x:c r="B33" s="21" t="n">
        <x:v>2</x:v>
      </x:c>
      <x:c r="C33" s="21" t="str">
        <x:v>Questions are mostly generic, already answered by the specification, or low-impact; or a material ambiguity is left unflagged.</x:v>
      </x:c>
    </x:row>
    <x:row r="34" ht="54" customHeight="1">
      <x:c r="A34" s="22" t="str">
        <x:v>Clarification Flag Quality</x:v>
      </x:c>
      <x:c r="B34" s="22" t="n">
        <x:v>1</x:v>
      </x:c>
      <x:c r="C34" s="22" t="str">
        <x:v>Provides no useful question despite a critical ambiguity, or the flags are wholly irrelevant, fabricated, or boilerplate.</x:v>
      </x:c>
    </x:row>
    <x:row r="36">
      <x:c r="A36" s="7" t="str">
        <x:v>General scoring rules</x:v>
      </x:c>
      <x:c r="B36" s="7"/>
      <x:c r="C36" s="7"/>
    </x:row>
    <x:row r="37">
      <x:c r="A37" s="5" t="str">
        <x:v>1.</x:v>
      </x:c>
      <x:c r="B37" s="5"/>
      <x:c r="C37" s="5" t="str">
        <x:v>Compare coverage with the frozen consensus essential elements; volume alone does not improve a score.</x:v>
      </x:c>
    </x:row>
    <x:row r="38">
      <x:c r="A38" s="5" t="str">
        <x:v>2.</x:v>
      </x:c>
      <x:c r="B38" s="5"/>
      <x:c r="C38" s="5" t="str">
        <x:v>Do not reward confident wording, formatting, or item count by itself.</x:v>
      </x:c>
    </x:row>
    <x:row r="39">
      <x:c r="A39" s="5" t="str">
        <x:v>3.</x:v>
      </x:c>
      <x:c r="B39" s="5"/>
      <x:c r="C39" s="5" t="str">
        <x:v>Judge missing tests under Completeness and vague included tests under Specificity.</x:v>
      </x:c>
    </x:row>
    <x:row r="40">
      <x:c r="A40" s="5" t="str">
        <x:v>4.</x:v>
      </x:c>
      <x:c r="B40" s="5"/>
      <x:c r="C40" s="5" t="str">
        <x:v>Treat frozen implicit elements as essential; record when a judgment relies on implicit domain knowledge.</x:v>
      </x:c>
    </x:row>
    <x:row r="41">
      <x:c r="A41" s="5" t="str">
        <x:v>5.</x:v>
      </x:c>
      <x:c r="B41" s="5"/>
      <x:c r="C41" s="5" t="str">
        <x:v>Unsupported assumptions or invented behavior do not earn credit and may reduce relevant dimensions.</x:v>
      </x:c>
    </x:row>
    <x:row r="42">
      <x:c r="A42" s="5" t="str">
        <x:v>6.</x:v>
      </x:c>
      <x:c r="B42" s="5"/>
      <x:c r="C42" s="5" t="str">
        <x:v>Use the lower score when the higher anchor is not fully met.</x:v>
      </x:c>
    </x:row>
    <x:row r="43">
      <x:c r="A43" s="5" t="str">
        <x:v>7.</x:v>
      </x:c>
      <x:c r="B43" s="5"/>
      <x:c r="C43" s="5" t="str">
        <x:v>Explain scores of 1, 2, or 5 and judgments that depend on implicit domain knowledge.</x:v>
      </x:c>
    </x:row>
  </x:sheetData>
  <x:pageMargins left="0.7" right="0.7" top="0.75" bottom="0.75" header="0.3" footer="0.3"/>
</x:worksheet>
</file>