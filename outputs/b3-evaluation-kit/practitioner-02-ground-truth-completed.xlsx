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db93c7cb88654777" /></Relationships>
</file>

<file path=xl/workbook.xml><?xml version="1.0" encoding="utf-8"?>
<x:workbook xmlns:x="http://schemas.openxmlformats.org/spreadsheetml/2006/main">
  <x:sheets>
    <x:sheet xmlns:r="http://schemas.openxmlformats.org/officeDocument/2006/relationships" name="Read First" sheetId="1" r:id="R0849bb6ab64d442c"/>
    <x:sheet xmlns:r="http://schemas.openxmlformats.org/officeDocument/2006/relationships" name="Ground Truth" sheetId="2" r:id="Raab2f21381844691"/>
    <x:sheet xmlns:r="http://schemas.openxmlformats.org/officeDocument/2006/relationships" name="Specifications" sheetId="3" r:id="R6b77ea3e4e09436e"/>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9">
    <x:font>
      <x:sz val="11"/>
      <x:name val="Carlito"/>
    </x:font>
    <x:font>
      <x:b/>
      <x:sz val="14"/>
      <x:color rgb="FF17365D"/>
      <x:name val="Arial"/>
    </x:font>
    <x:font>
      <x:b/>
      <x:sz val="10"/>
      <x:color rgb="FF595959"/>
      <x:name val="Arial"/>
    </x:font>
    <x:font>
      <x:sz val="10"/>
      <x:color rgb="FF222222"/>
      <x:name val="Arial"/>
    </x:font>
    <x:font>
      <x:b/>
      <x:sz val="10"/>
      <x:color rgb="FF17365D"/>
      <x:name val="Arial"/>
    </x:font>
    <x:font>
      <x:b/>
      <x:sz val="10"/>
      <x:color rgb="FF7F6000"/>
      <x:name val="Arial"/>
    </x:font>
    <x:font>
      <x:sz val="11"/>
      <x:name val="Arial"/>
    </x:font>
    <x:font>
      <x:i/>
      <x:sz val="10"/>
      <x:color rgb="FF595959"/>
      <x:name val="Arial"/>
    </x:font>
    <x:font>
      <x:b/>
      <x:sz val="10"/>
      <x:color rgb="FFFFFFFF"/>
      <x:name val="Arial"/>
    </x:font>
  </x:fonts>
  <x:fills count="7">
    <x:fill>
      <x:patternFill patternType="none"/>
    </x:fill>
    <x:fill>
      <x:patternFill patternType="gray125"/>
    </x:fill>
    <x:fill>
      <x:patternFill patternType="solid">
        <x:fgColor rgb="FFD9EAF7"/>
      </x:patternFill>
    </x:fill>
    <x:fill>
      <x:patternFill patternType="solid">
        <x:fgColor rgb="FFFFF2CC"/>
      </x:patternFill>
    </x:fill>
    <x:fill>
      <x:patternFill patternType="solid">
        <x:fgColor rgb="FF17365D"/>
      </x:patternFill>
    </x:fill>
    <x:fill>
      <x:patternFill patternType="solid">
        <x:fgColor rgb="FFEAF2F8"/>
      </x:patternFill>
    </x:fill>
    <x:fill>
      <x:patternFill patternType="solid">
        <x:fgColor rgb="FFE7E6E6"/>
      </x:patternFill>
    </x:fill>
  </x:fills>
  <x:borders count="7">
    <x:border/>
    <x:border>
      <x:bottom style="thin">
        <x:color rgb="FF17365D"/>
      </x:bottom>
    </x:border>
    <x:border>
      <x:right style="thin">
        <x:color rgb="FFFFFFFF"/>
      </x:right>
    </x:border>
    <x:border>
      <x:left style="thin">
        <x:color rgb="FFFFFFFF"/>
      </x:left>
      <x:right style="thin">
        <x:color rgb="FFFFFFFF"/>
      </x:right>
    </x:border>
    <x:border>
      <x:left style="thin">
        <x:color rgb="FFFFFFFF"/>
      </x:left>
    </x:border>
    <x:border>
      <x:bottom style="thin">
        <x:color rgb="FFD9E1F2"/>
      </x:bottom>
    </x:border>
    <x:border>
      <x:top style="thin">
        <x:color rgb="FFD9E1F2"/>
      </x:top>
      <x:bottom style="thin">
        <x:color rgb="FFD9E1F2"/>
      </x:bottom>
    </x:border>
  </x:borders>
  <x:cellStyleXfs count="1">
    <x:xf numFmtId="0" fontId="0" fillId="0" borderId="0"/>
  </x:cellStyleXfs>
  <x:cellXfs count="49">
    <x:xf numFmtId="0" fontId="0" fillId="0" borderId="0" xfId="0"/>
    <x:xf numFmtId="0" fontId="1" fillId="0" borderId="0" xfId="0" applyNumberFormat="1" applyFont="1" applyFill="1" applyBorder="1"/>
    <x:xf numFmtId="0" fontId="0" fillId="0" borderId="1" xfId="0" applyNumberFormat="1" applyFont="1" applyFill="1" applyBorder="1"/>
    <x:xf numFmtId="0" fontId="2" fillId="0" borderId="0" xfId="0" applyNumberFormat="1" applyFont="1" applyFill="1" applyBorder="1"/>
    <x:xf numFmtId="0" fontId="3" fillId="0" borderId="0" xfId="0" applyNumberFormat="1" applyFont="1" applyFill="1" applyBorder="1"/>
    <x:xf numFmtId="200" fontId="3" fillId="0" borderId="0" xfId="0" applyNumberFormat="1" applyFont="1" applyFill="1" applyBorder="1"/>
    <x:xf numFmtId="0" fontId="0" fillId="2" borderId="0" xfId="0" applyNumberFormat="1" applyFont="1" applyFill="1" applyBorder="1"/>
    <x:xf numFmtId="0" fontId="4" fillId="2" borderId="0" xfId="0" applyNumberFormat="1" applyFont="1" applyFill="1" applyBorder="1"/>
    <x:xf numFmtId="0" fontId="4" fillId="2" borderId="1" xfId="0" applyNumberFormat="1" applyFont="1" applyFill="1" applyBorder="1"/>
    <x:xf numFmtId="0" fontId="3" fillId="0" borderId="0" xfId="0" applyNumberFormat="1" applyFont="1" applyFill="1" applyBorder="1" applyAlignment="1">
      <x:alignment wrapText="1"/>
    </x:xf>
    <x:xf numFmtId="0" fontId="0" fillId="3" borderId="0" xfId="0" applyNumberFormat="1" applyFont="1" applyFill="1" applyBorder="1"/>
    <x:xf numFmtId="0" fontId="5" fillId="3" borderId="0" xfId="0" applyNumberFormat="1" applyFont="1" applyFill="1" applyBorder="1"/>
    <x:xf numFmtId="0" fontId="5" fillId="3" borderId="0" xfId="0" applyNumberFormat="1" applyFont="1" applyFill="1" applyBorder="1" applyAlignment="1">
      <x:alignment wrapText="1"/>
    </x:xf>
    <x:xf numFmtId="0" fontId="6" fillId="0" borderId="0" xfId="0" applyNumberFormat="1" applyFont="1" applyFill="1" applyBorder="1"/>
    <x:xf numFmtId="0" fontId="6" fillId="0" borderId="1" xfId="0" applyNumberFormat="1" applyFont="1" applyFill="1" applyBorder="1"/>
    <x:xf numFmtId="0" fontId="7" fillId="0" borderId="0" xfId="0" applyNumberFormat="1" applyFont="1" applyFill="1" applyBorder="1"/>
    <x:xf numFmtId="0" fontId="7" fillId="0" borderId="0" xfId="0" applyNumberFormat="1" applyFont="1" applyFill="1" applyBorder="1" applyAlignment="1">
      <x:alignment wrapText="0"/>
    </x:xf>
    <x:xf numFmtId="0" fontId="0" fillId="4" borderId="0" xfId="0" applyNumberFormat="1" applyFont="1" applyFill="1" applyBorder="1"/>
    <x:xf numFmtId="0" fontId="8" fillId="4" borderId="0" xfId="0" applyNumberFormat="1" applyFont="1" applyFill="1" applyBorder="1"/>
    <x:xf numFmtId="0" fontId="8" fillId="4" borderId="2" xfId="0" applyNumberFormat="1" applyFont="1" applyFill="1" applyBorder="1"/>
    <x:xf numFmtId="0" fontId="8" fillId="4" borderId="3" xfId="0" applyNumberFormat="1" applyFont="1" applyFill="1" applyBorder="1"/>
    <x:xf numFmtId="0" fontId="8" fillId="4" borderId="4" xfId="0" applyNumberFormat="1" applyFont="1" applyFill="1" applyBorder="1"/>
    <x:xf numFmtId="0" fontId="8" fillId="4" borderId="2" xfId="0" applyNumberFormat="1" applyFont="1" applyFill="1" applyBorder="1" applyAlignment="1">
      <x:alignment wrapText="1"/>
    </x:xf>
    <x:xf numFmtId="0" fontId="8" fillId="4" borderId="3" xfId="0" applyNumberFormat="1" applyFont="1" applyFill="1" applyBorder="1" applyAlignment="1">
      <x:alignment wrapText="1"/>
    </x:xf>
    <x:xf numFmtId="0" fontId="8" fillId="4" borderId="4" xfId="0" applyNumberFormat="1" applyFont="1" applyFill="1" applyBorder="1" applyAlignment="1">
      <x:alignment wrapText="1"/>
    </x:xf>
    <x:xf numFmtId="0" fontId="8" fillId="4" borderId="2" xfId="0" applyNumberFormat="1" applyFont="1" applyFill="1" applyBorder="1" applyAlignment="1">
      <x:alignment horizontal="center" wrapText="1"/>
    </x:xf>
    <x:xf numFmtId="0" fontId="8" fillId="4" borderId="3" xfId="0" applyNumberFormat="1" applyFont="1" applyFill="1" applyBorder="1" applyAlignment="1">
      <x:alignment horizontal="center" wrapText="1"/>
    </x:xf>
    <x:xf numFmtId="0" fontId="8" fillId="4" borderId="4" xfId="0" applyNumberFormat="1" applyFont="1" applyFill="1" applyBorder="1" applyAlignment="1">
      <x:alignment horizontal="center" wrapText="1"/>
    </x:xf>
    <x:xf numFmtId="0" fontId="8" fillId="4" borderId="2" xfId="0" applyNumberFormat="1" applyFont="1" applyFill="1" applyBorder="1" applyAlignment="1">
      <x:alignment horizontal="center" vertical="center" wrapText="1"/>
    </x:xf>
    <x:xf numFmtId="0" fontId="8" fillId="4" borderId="3" xfId="0" applyNumberFormat="1" applyFont="1" applyFill="1" applyBorder="1" applyAlignment="1">
      <x:alignment horizontal="center" vertical="center" wrapText="1"/>
    </x:xf>
    <x:xf numFmtId="0" fontId="8" fillId="4" borderId="4"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0" borderId="5" xfId="0" applyNumberFormat="1" applyFont="1" applyFill="1" applyBorder="1" applyAlignment="1">
      <x:alignment vertical="top" wrapText="1"/>
    </x:xf>
    <x:xf numFmtId="0" fontId="3" fillId="0" borderId="6"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3" fillId="5" borderId="6" xfId="0" applyNumberFormat="1" applyFont="1" applyFill="1" applyBorder="1" applyAlignment="1">
      <x:alignment vertical="top" wrapText="1"/>
    </x:xf>
    <x:xf numFmtId="0" fontId="3" fillId="3" borderId="5" xfId="0" applyNumberFormat="1" applyFont="1" applyFill="1" applyBorder="1" applyAlignment="1">
      <x:alignment vertical="top" wrapText="1"/>
    </x:xf>
    <x:xf numFmtId="0" fontId="3" fillId="3" borderId="6" xfId="0" applyNumberFormat="1" applyFont="1" applyFill="1" applyBorder="1" applyAlignment="1">
      <x:alignment vertical="top" wrapText="1"/>
    </x:xf>
    <x:xf numFmtId="0" fontId="3" fillId="6" borderId="5" xfId="0" applyNumberFormat="1" applyFont="1" applyFill="1" applyBorder="1" applyAlignment="1">
      <x:alignment vertical="top" wrapText="1"/>
    </x:xf>
    <x:xf numFmtId="0" fontId="3" fillId="6" borderId="6" xfId="0" applyNumberFormat="1" applyFont="1" applyFill="1" applyBorder="1" applyAlignment="1">
      <x:alignment vertical="top" wrapText="1"/>
    </x:xf>
    <x:xf numFmtId="0" fontId="3" fillId="5" borderId="5" xfId="0" applyNumberFormat="1" applyFont="1" applyFill="1" applyBorder="1" applyAlignment="1">
      <x:alignment horizontal="center" vertical="top" wrapText="1"/>
    </x:xf>
    <x:xf numFmtId="0" fontId="3" fillId="5" borderId="6" xfId="0" applyNumberFormat="1" applyFont="1" applyFill="1" applyBorder="1" applyAlignment="1">
      <x:alignment horizontal="center" vertical="top" wrapText="1"/>
    </x:xf>
    <x:xf numFmtId="0" fontId="3" fillId="3" borderId="5" xfId="0" applyNumberFormat="1" applyFont="1" applyFill="1" applyBorder="1" applyAlignment="1">
      <x:alignment horizontal="center" vertical="top" wrapText="1"/>
    </x:xf>
    <x:xf numFmtId="0" fontId="3" fillId="3" borderId="6" xfId="0" applyNumberFormat="1" applyFont="1" applyFill="1" applyBorder="1" applyAlignment="1">
      <x:alignment horizontal="center" vertical="top" wrapText="1"/>
    </x:xf>
    <x:xf numFmtId="0" fontId="3" fillId="6" borderId="5" xfId="0" applyNumberFormat="1" applyFont="1" applyFill="1" applyBorder="1" applyAlignment="1">
      <x:alignment horizontal="center" vertical="top" wrapText="1"/>
    </x:xf>
    <x:xf numFmtId="0" fontId="3" fillId="6" borderId="6" xfId="0" applyNumberFormat="1" applyFont="1" applyFill="1" applyBorder="1" applyAlignment="1">
      <x:alignment horizontal="center" vertical="top" wrapText="1"/>
    </x:xf>
    <x:xf numFmtId="0" fontId="3" fillId="0" borderId="5" xfId="0" applyNumberFormat="1" applyFont="1" applyFill="1" applyBorder="1" applyAlignment="1">
      <x:alignment horizontal="center" vertical="top" wrapText="1"/>
    </x:xf>
    <x:xf numFmtId="0" fontId="3" fillId="0" borderId="6" xfId="0" applyNumberFormat="1" applyFont="1" applyFill="1" applyBorder="1" applyAlignment="1">
      <x:alignment horizontal="center" vertical="top" wrapText="1"/>
    </x:xf>
  </x:cellXfs>
  <x:cellStyles count="1">
    <x:cellStyle name="Normal" xfId="0"/>
  </x:cellStyles>
  <x:dxfs count="2">
    <x:dxf>
      <x:font>
        <x:b/>
        <x:color rgb="FF9C0006"/>
      </x:font>
      <x:fill>
        <x:patternFill>
          <x:bgColor rgb="FFFCE4D6"/>
        </x:patternFill>
      </x:fill>
    </x:dxf>
    <x:dxf>
      <x:font>
        <x:b/>
        <x:color rgb="FF375623"/>
      </x:font>
      <x:fill>
        <x:patternFill>
          <x:bgColor rgb="FFE2F0D9"/>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53c25e9b8da43d5" /><Relationship Type="http://schemas.openxmlformats.org/officeDocument/2006/relationships/theme" Target="/xl/theme/theme1.xml" Id="R258659bde0ed4bda" /><Relationship Type="http://schemas.openxmlformats.org/officeDocument/2006/relationships/sharedStrings" Target="/xl/sharedStrings.xml" Id="R785755fb4ef84c76" /><Relationship Type="http://schemas.openxmlformats.org/officeDocument/2006/relationships/worksheet" Target="/xl/worksheets/sheet1.xml" Id="R0849bb6ab64d442c" /><Relationship Type="http://schemas.openxmlformats.org/officeDocument/2006/relationships/worksheet" Target="/xl/worksheets/sheet2.xml" Id="Raab2f21381844691" /><Relationship Type="http://schemas.openxmlformats.org/officeDocument/2006/relationships/worksheet" Target="/xl/worksheets/sheet3.xml" Id="R6b77ea3e4e09436e"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Pr>
    <x:tabColor rgb="FF17365D"/>
  </x:sheetPr>
  <x:sheetViews>
    <x:sheetView showGridLines="0" workbookViewId="0"/>
  </x:sheetViews>
  <x:sheetFormatPr defaultRowHeight="15"/>
  <x:cols>
    <x:col min="1" max="1" width="42" hidden="0" customWidth="1"/>
    <x:col min="2" max="2" width="72" hidden="0" customWidth="1"/>
    <x:col min="3" max="3" width="12" hidden="0" customWidth="1"/>
    <x:col min="4" max="4" width="12" hidden="0" customWidth="1"/>
    <x:col min="5" max="5" width="12" hidden="0" customWidth="1"/>
    <x:col min="6" max="6" width="12" hidden="0" customWidth="1"/>
    <x:col min="7" max="7" width="12" hidden="0" customWidth="1"/>
    <x:col min="8" max="8" width="12" hidden="0" customWidth="1"/>
  </x:cols>
  <x:sheetData>
    <x:row r="1">
      <x:c r="A1" s="13"/>
      <x:c r="B1" s="13"/>
      <x:c r="C1" s="13"/>
      <x:c r="D1" s="13"/>
      <x:c r="E1" s="13"/>
      <x:c r="F1" s="13"/>
      <x:c r="G1" s="13"/>
      <x:c r="H1" s="13"/>
    </x:row>
    <x:row r="2">
      <x:c r="A2" s="1" t="str">
        <x:v>B3 independent ground-truth worksheet</x:v>
      </x:c>
      <x:c r="B2" s="1"/>
      <x:c r="C2" s="1"/>
      <x:c r="D2" s="1"/>
      <x:c r="E2" s="1"/>
      <x:c r="F2" s="1"/>
      <x:c r="G2" s="1"/>
      <x:c r="H2" s="1"/>
    </x:row>
    <x:row r="3">
      <x:c r="A3" s="14"/>
      <x:c r="B3" s="14"/>
      <x:c r="C3" s="14"/>
      <x:c r="D3" s="14"/>
      <x:c r="E3" s="14"/>
      <x:c r="F3" s="14"/>
      <x:c r="G3" s="14"/>
      <x:c r="H3" s="14"/>
    </x:row>
    <x:row r="4">
      <x:c r="A4" s="13"/>
      <x:c r="B4" s="13"/>
      <x:c r="C4" s="13"/>
      <x:c r="D4" s="13"/>
      <x:c r="E4" s="13"/>
      <x:c r="F4" s="13"/>
      <x:c r="G4" s="13"/>
      <x:c r="H4" s="13"/>
    </x:row>
    <x:row r="5">
      <x:c r="A5" s="3" t="str">
        <x:v>Protocol</x:v>
      </x:c>
      <x:c r="B5" s="4" t="str">
        <x:v>ATSR-SREP-R2-v1.0</x:v>
      </x:c>
      <x:c r="C5" s="13"/>
      <x:c r="D5" s="13"/>
      <x:c r="E5" s="13"/>
      <x:c r="F5" s="13"/>
      <x:c r="G5" s="13"/>
      <x:c r="H5" s="13"/>
    </x:row>
    <x:row r="6">
      <x:c r="A6" s="3" t="str">
        <x:v>Rater ID</x:v>
      </x:c>
      <x:c r="B6" s="4" t="str">
        <x:v>PRACTITIONER-02</x:v>
      </x:c>
      <x:c r="C6" s="13"/>
      <x:c r="D6" s="13"/>
      <x:c r="E6" s="13"/>
      <x:c r="F6" s="13"/>
      <x:c r="G6" s="13"/>
      <x:c r="H6" s="13"/>
    </x:row>
    <x:row r="7">
      <x:c r="A7" s="3" t="str">
        <x:v>Specifications</x:v>
      </x:c>
      <x:c r="B7" s="4" t="n">
        <x:v>18</x:v>
      </x:c>
      <x:c r="C7" s="13"/>
      <x:c r="D7" s="13"/>
      <x:c r="E7" s="13"/>
      <x:c r="F7" s="13"/>
      <x:c r="G7" s="13"/>
      <x:c r="H7" s="13"/>
    </x:row>
    <x:row r="8">
      <x:c r="A8" s="3" t="str">
        <x:v>Rows complete</x:v>
      </x:c>
      <x:c r="B8" s="5" t="n">
        <x:f>COUNTIFS('Ground Truth'!M5:M22,"Complete")</x:f>
        <x:v>18</x:v>
      </x:c>
      <x:c r="C8" s="13"/>
      <x:c r="D8" s="13"/>
      <x:c r="E8" s="13"/>
      <x:c r="F8" s="13"/>
      <x:c r="G8" s="13"/>
      <x:c r="H8" s="13"/>
    </x:row>
    <x:row r="9">
      <x:c r="A9" s="3" t="str">
        <x:v>Rows remaining</x:v>
      </x:c>
      <x:c r="B9" s="5" t="n">
        <x:f>18-B8</x:f>
        <x:v>0</x:v>
      </x:c>
      <x:c r="C9" s="13"/>
      <x:c r="D9" s="13"/>
      <x:c r="E9" s="13"/>
      <x:c r="F9" s="13"/>
      <x:c r="G9" s="13"/>
      <x:c r="H9" s="13"/>
    </x:row>
    <x:row r="10">
      <x:c r="A10" s="3" t="str">
        <x:v>Dataset SHA-256</x:v>
      </x:c>
      <x:c r="B10" s="4" t="str">
        <x:v>48d94cce163cf21efa712939bd4334b0a89260434aafe0d83a00cbd2dd3856f0</x:v>
      </x:c>
      <x:c r="C10" s="13"/>
      <x:c r="D10" s="13"/>
      <x:c r="E10" s="13"/>
      <x:c r="F10" s="13"/>
      <x:c r="G10" s="13"/>
      <x:c r="H10" s="13"/>
    </x:row>
    <x:row r="11">
      <x:c r="A11" s="13"/>
      <x:c r="B11" s="13"/>
      <x:c r="C11" s="13"/>
      <x:c r="D11" s="13"/>
      <x:c r="E11" s="13"/>
      <x:c r="F11" s="13"/>
      <x:c r="G11" s="13"/>
      <x:c r="H11" s="13"/>
    </x:row>
    <x:row r="12">
      <x:c r="A12" s="8" t="str">
        <x:v>Instructions</x:v>
      </x:c>
      <x:c r="B12" s="8"/>
      <x:c r="C12" s="8"/>
      <x:c r="D12" s="8"/>
      <x:c r="E12" s="8"/>
      <x:c r="F12" s="8"/>
      <x:c r="G12" s="8"/>
      <x:c r="H12" s="8"/>
    </x:row>
    <x:row r="13" ht="52" customHeight="1">
      <x:c r="A13" s="9" t="str">
        <x:v>1. Work independently and review all 18 specifications before discussing judgments.</x:v>
      </x:c>
      <x:c r="B13" s="9"/>
      <x:c r="C13" s="9"/>
      <x:c r="D13" s="9"/>
      <x:c r="E13" s="9"/>
      <x:c r="F13" s="9"/>
      <x:c r="G13" s="9"/>
      <x:c r="H13" s="9"/>
    </x:row>
    <x:row r="14" ht="52" customHeight="1">
      <x:c r="A14" s="9" t="str">
        <x:v>2. Do not view AI outputs, historical scores, historical author ground truth, or another rater's worksheet.</x:v>
      </x:c>
      <x:c r="B14" s="9"/>
      <x:c r="C14" s="9"/>
      <x:c r="D14" s="9"/>
      <x:c r="E14" s="9"/>
      <x:c r="F14" s="9"/>
      <x:c r="G14" s="9"/>
      <x:c r="H14" s="9"/>
    </x:row>
    <x:row r="15" ht="52" customHeight="1">
      <x:c r="A15" s="9" t="str">
        <x:v>3. Enter one LOW, MEDIUM, or HIGH depth judgment and a short rationale for each specification.</x:v>
      </x:c>
      <x:c r="B15" s="9"/>
      <x:c r="C15" s="9"/>
      <x:c r="D15" s="9"/>
      <x:c r="E15" s="9"/>
      <x:c r="F15" s="9"/>
      <x:c r="G15" s="9"/>
      <x:c r="H15" s="9"/>
    </x:row>
    <x:row r="16" ht="52" customHeight="1">
      <x:c r="A16" s="9" t="str">
        <x:v>4. Enter semicolon-separated essential elements for functional, smoke, regression, integration, exploratory, and clarification scope.</x:v>
      </x:c>
      <x:c r="B16" s="9"/>
      <x:c r="C16" s="9"/>
      <x:c r="D16" s="9"/>
      <x:c r="E16" s="9"/>
      <x:c r="F16" s="9"/>
      <x:c r="G16" s="9"/>
      <x:c r="H16" s="9"/>
    </x:row>
    <x:row r="17" ht="52" customHeight="1">
      <x:c r="A17" s="9" t="str">
        <x:v>5. Use NONE when a category is genuinely irrelevant. Do not leave required fields blank.</x:v>
      </x:c>
      <x:c r="B17" s="9"/>
      <x:c r="C17" s="9"/>
      <x:c r="D17" s="9"/>
      <x:c r="E17" s="9"/>
      <x:c r="F17" s="9"/>
      <x:c r="G17" s="9"/>
      <x:c r="H17" s="9"/>
    </x:row>
    <x:row r="18" ht="52" customHeight="1">
      <x:c r="A18" s="9" t="str">
        <x:v>6. If an essential element depends on professional knowledge not explicit in the specification, record the inferential link under Implicit domain knowledge.</x:v>
      </x:c>
      <x:c r="B18" s="9"/>
      <x:c r="C18" s="9"/>
      <x:c r="D18" s="9"/>
      <x:c r="E18" s="9"/>
      <x:c r="F18" s="9"/>
      <x:c r="G18" s="9"/>
      <x:c r="H18" s="9"/>
    </x:row>
    <x:row r="19" ht="52" customHeight="1">
      <x:c r="A19" s="9" t="str">
        <x:v>7. Use Notes for assumptions or uncertainty. The Status column calculates automatically.</x:v>
      </x:c>
      <x:c r="B19" s="9"/>
      <x:c r="C19" s="9"/>
      <x:c r="D19" s="9"/>
      <x:c r="E19" s="9"/>
      <x:c r="F19" s="9"/>
      <x:c r="G19" s="9"/>
      <x:c r="H19" s="9"/>
    </x:row>
    <x:row r="20" ht="52" customHeight="1">
      <x:c r="A20" s="9" t="str">
        <x:v>8. Return the completed workbook to the researcher without renaming worksheets or changing Spec IDs.</x:v>
      </x:c>
      <x:c r="B20" s="9"/>
      <x:c r="C20" s="9"/>
      <x:c r="D20" s="9"/>
      <x:c r="E20" s="9"/>
      <x:c r="F20" s="9"/>
      <x:c r="G20" s="9"/>
      <x:c r="H20" s="9"/>
    </x:row>
    <x:row r="21">
      <x:c r="A21" s="13"/>
      <x:c r="B21" s="13"/>
      <x:c r="C21" s="13"/>
      <x:c r="D21" s="13"/>
      <x:c r="E21" s="13"/>
      <x:c r="F21" s="13"/>
      <x:c r="G21" s="13"/>
      <x:c r="H21" s="13"/>
    </x:row>
    <x:row r="22" ht="34" customHeight="1">
      <x:c r="A22" s="12" t="str">
        <x:v>Stop after completing this workbook. Model-output rating begins only after consensus and rubric freeze.</x:v>
      </x:c>
      <x:c r="B22" s="12"/>
      <x:c r="C22" s="12"/>
      <x:c r="D22" s="12"/>
      <x:c r="E22" s="12"/>
      <x:c r="F22" s="12"/>
      <x:c r="G22" s="12"/>
      <x:c r="H22" s="12"/>
    </x:row>
    <x:row r="23">
      <x:c r="A23" s="13"/>
      <x:c r="B23" s="13"/>
      <x:c r="C23" s="13"/>
      <x:c r="D23" s="13"/>
      <x:c r="E23" s="13"/>
      <x:c r="F23" s="13"/>
      <x:c r="G23" s="13"/>
      <x:c r="H23" s="13"/>
    </x:row>
    <x:row r="24">
      <x:c r="A24" s="13"/>
      <x:c r="B24" s="13"/>
      <x:c r="C24" s="13"/>
      <x:c r="D24" s="13"/>
      <x:c r="E24" s="13"/>
      <x:c r="F24" s="13"/>
      <x:c r="G24" s="13"/>
      <x:c r="H24" s="13"/>
    </x:row>
    <x:row r="25">
      <x:c r="A25" s="13"/>
      <x:c r="B25" s="13"/>
      <x:c r="C25" s="13"/>
      <x:c r="D25" s="13"/>
      <x:c r="E25" s="13"/>
      <x:c r="F25" s="13"/>
      <x:c r="G25" s="13"/>
      <x:c r="H25" s="13"/>
    </x:row>
  </x:sheetData>
  <x:pageMargins left="0.7" right="0.7" top="0.75" bottom="0.75" header="0.3" footer="0.3"/>
</x:worksheet>
</file>

<file path=xl/worksheets/sheet2.xml><?xml version="1.0" encoding="utf-8"?>
<x:worksheet xmlns:x="http://schemas.openxmlformats.org/spreadsheetml/2006/main">
  <x:sheetPr>
    <x:tabColor rgb="FF5B9BD5"/>
  </x:sheetPr>
  <x:sheetViews>
    <x:sheetView showGridLines="0" workbookViewId="0">
      <x:pane xSplit="2" ySplit="4" topLeftCell="C5" activePane="bottomRight" state="frozen"/>
    </x:sheetView>
  </x:sheetViews>
  <x:sheetFormatPr defaultRowHeight="15"/>
  <x:cols>
    <x:col min="1" max="1" width="12" hidden="0" customWidth="1"/>
    <x:col min="2" max="2" width="34" hidden="0" customWidth="1"/>
    <x:col min="3" max="3" width="16" hidden="0" customWidth="1"/>
    <x:col min="4" max="4" width="34" hidden="0" customWidth="1"/>
    <x:col min="5" max="5" width="30" hidden="0" customWidth="1"/>
    <x:col min="6" max="6" width="34" hidden="0" customWidth="1"/>
    <x:col min="7" max="7" width="34" hidden="0" customWidth="1"/>
    <x:col min="8" max="8" width="32" hidden="0" customWidth="1"/>
    <x:col min="9" max="9" width="34" hidden="0" customWidth="1"/>
    <x:col min="10" max="10" width="32" hidden="0" customWidth="1"/>
    <x:col min="11" max="11" width="34" hidden="0" customWidth="1"/>
    <x:col min="12" max="12" width="30" hidden="0" customWidth="1"/>
    <x:col min="13" max="13" width="16" hidden="0" customWidth="1"/>
  </x:cols>
  <x:sheetData>
    <x:row r="2">
      <x:c r="A2" s="1" t="str">
        <x:v>Independent judgments for 18 specifications</x:v>
      </x:c>
      <x:c r="B2" s="1"/>
      <x:c r="C2" s="1"/>
      <x:c r="D2" s="1"/>
      <x:c r="E2" s="1"/>
      <x:c r="F2" s="1"/>
      <x:c r="G2" s="1"/>
      <x:c r="H2" s="1"/>
      <x:c r="I2" s="1"/>
      <x:c r="J2" s="1"/>
      <x:c r="K2" s="1"/>
      <x:c r="L2" s="1"/>
      <x:c r="M2" s="1"/>
    </x:row>
    <x:row r="3">
      <x:c r="A3" s="16"/>
      <x:c r="B3" s="16"/>
      <x:c r="C3" s="16" t="str">
        <x:v>Yellow cells require participant input. Use semicolons between atomic elements; enter NONE when a category is irrelevant.</x:v>
      </x:c>
      <x:c r="D3" s="16"/>
      <x:c r="E3" s="16"/>
      <x:c r="F3" s="16"/>
      <x:c r="G3" s="16"/>
      <x:c r="H3" s="16"/>
      <x:c r="I3" s="16"/>
      <x:c r="J3" s="16"/>
      <x:c r="K3" s="16"/>
      <x:c r="L3" s="16"/>
      <x:c r="M3" s="16"/>
    </x:row>
    <x:row r="4" ht="45" customHeight="1">
      <x:c r="A4" s="28" t="str">
        <x:v>Spec ID</x:v>
      </x:c>
      <x:c r="B4" s="29" t="str">
        <x:v>Title</x:v>
      </x:c>
      <x:c r="C4" s="29" t="str">
        <x:v>Coverage depth</x:v>
      </x:c>
      <x:c r="D4" s="29" t="str">
        <x:v>Essential functional scope</x:v>
      </x:c>
      <x:c r="E4" s="29" t="str">
        <x:v>Essential smoke scope</x:v>
      </x:c>
      <x:c r="F4" s="29" t="str">
        <x:v>Essential regression scope</x:v>
      </x:c>
      <x:c r="G4" s="29" t="str">
        <x:v>Essential integration scope</x:v>
      </x:c>
      <x:c r="H4" s="29" t="str">
        <x:v>Essential exploratory scope</x:v>
      </x:c>
      <x:c r="I4" s="29" t="str">
        <x:v>Essential clarification needs</x:v>
      </x:c>
      <x:c r="J4" s="29" t="str">
        <x:v>Depth rationale</x:v>
      </x:c>
      <x:c r="K4" s="29" t="str">
        <x:v>Implicit domain knowledge</x:v>
      </x:c>
      <x:c r="L4" s="29" t="str">
        <x:v>Notes or assumptions</x:v>
      </x:c>
      <x:c r="M4" s="30" t="str">
        <x:v>Status</x:v>
      </x:c>
    </x:row>
    <x:row r="5" ht="78" customHeight="1">
      <x:c r="A5" s="41" t="str">
        <x:v>SPEC-01</x:v>
      </x:c>
      <x:c r="B5" s="35" t="str">
        <x:v>Online Ordering Portal Still Shows Menu Item as Available After Overnight Menu Sync</x:v>
      </x:c>
      <x:c r="C5" s="43" t="str">
        <x:v>HIGH</x:v>
      </x:c>
      <x:c r="D5" s="37" t="str">
        <x:v>Set OOS on POS; confirm POS status; validate web/mobile unavailable state; restore availability; verify item becomes purchasable</x:v>
      </x:c>
      <x:c r="E5" s="37" t="str">
        <x:v>Status changes successfully and digital channel prevents order</x:v>
      </x:c>
      <x:c r="F5" s="37" t="str">
        <x:v>Other menu items; modifiers/prices; normal sync cycle</x:v>
      </x:c>
      <x:c r="G5" s="37" t="str">
        <x:v>POS/menu source to digital ordering platforms</x:v>
      </x:c>
      <x:c r="H5" s="37" t="str">
        <x:v>Existing cart; rapid toggle; temporary sync failure; stale session</x:v>
      </x:c>
      <x:c r="I5" s="37" t="str">
        <x:v>Sync SLA; cart handling; expected manual refresh</x:v>
      </x:c>
      <x:c r="J5" s="37" t="str">
        <x:v>Incorrect availability directly creates failed digital orders</x:v>
      </x:c>
      <x:c r="K5" s="37" t="str">
        <x:v>Digital menus commonly cache catalog and availability separately</x:v>
      </x:c>
      <x:c r="L5" s="37" t="str">
        <x:v>Validate both removal and recovery</x:v>
      </x:c>
      <x:c r="M5" s="45" t="str">
        <x:f>IF(COUNTA(C5:K5)=9,"Complete","Missing fields")</x:f>
        <x:v>Complete</x:v>
      </x:c>
    </x:row>
    <x:row r="6" ht="78" customHeight="1">
      <x:c r="A6" s="42" t="str">
        <x:v>SPEC-02</x:v>
      </x:c>
      <x:c r="B6" s="36" t="str">
        <x:v>Payment Device Firmware Update — Quick Chip Reconnection Fix</x:v>
      </x:c>
      <x:c r="C6" s="44" t="str">
        <x:v>HIGH</x:v>
      </x:c>
      <x:c r="D6" s="38" t="str">
        <x:v>Upgrade terminal firmware; test all POS/version/device combinations; interrupt connectivity during payment; restore and verify next payment</x:v>
      </x:c>
      <x:c r="E6" s="38" t="str">
        <x:v>Terminal connects and successfully authorizes a payment</x:v>
      </x:c>
      <x:c r="F6" s="38" t="str">
        <x:v>Existing payment flows; cancel/decline; post-outage transaction</x:v>
      </x:c>
      <x:c r="G6" s="38" t="str">
        <x:v>POS/terminal/network/payment processor</x:v>
      </x:c>
      <x:c r="H6" s="38" t="str">
        <x:v>Cable removed at different points; repeated outage; reboot</x:v>
      </x:c>
      <x:c r="I6" s="38" t="str">
        <x:v>Expected interrupted-payment disposition; reconnection timing; eligible cards/tenders</x:v>
      </x:c>
      <x:c r="J6" s="38" t="str">
        <x:v>Financial transactions and compatibility matrix justify high depth</x:v>
      </x:c>
      <x:c r="K6" s="38" t="str">
        <x:v>Network failures can leave authorization and POS state inconsistent</x:v>
      </x:c>
      <x:c r="L6" s="38" t="str">
        <x:v>Do not expand into processor certification outside stated scope</x:v>
      </x:c>
      <x:c r="M6" s="46" t="str">
        <x:f>IF(COUNTA(C6:K6)=9,"Complete","Missing fields")</x:f>
        <x:v>Complete</x:v>
      </x:c>
    </x:row>
    <x:row r="7" ht="78" customHeight="1">
      <x:c r="A7" s="42" t="str">
        <x:v>SPEC-03</x:v>
      </x:c>
      <x:c r="B7" s="36" t="str">
        <x:v>New Wi-Fi Access Point Hardware Rollout — Indoor Wi-Fi 7 Model</x:v>
      </x:c>
      <x:c r="C7" s="44" t="str">
        <x:v>MEDIUM</x:v>
      </x:c>
      <x:c r="D7" s="38" t="str">
        <x:v>Verify each SSID and correct device access; validate primary/secondary templates; verify POS/line-busting traffic</x:v>
      </x:c>
      <x:c r="E7" s="38" t="str">
        <x:v>AP is online and representative device connects</x:v>
      </x:c>
      <x:c r="F7" s="38" t="str">
        <x:v>Existing SSIDs and critical device connectivity</x:v>
      </x:c>
      <x:c r="G7" s="38" t="str">
        <x:v>AP/controller, VLAN/routing where applicable</x:v>
      </x:c>
      <x:c r="H7" s="38" t="str">
        <x:v>Reboot; reconnect; several simultaneous clients; basic roaming</x:v>
      </x:c>
      <x:c r="I7" s="38" t="str">
        <x:v>Required performance thresholds; expected device classes; authentication</x:v>
      </x:c>
      <x:c r="J7" s="38" t="str">
        <x:v>Configuration/connectivity validation is significant but requirement does not explicitly request load/RF qualification</x:v>
      </x:c>
      <x:c r="K7" s="38" t="str">
        <x:v>Enterprise Wi-Fi generally separates device classes by SSID/VLAN</x:v>
      </x:c>
      <x:c r="L7" s="38" t="str">
        <x:v>Escalate to HIGH only if AP replacement is store-wide production rollout</x:v>
      </x:c>
      <x:c r="M7" s="46" t="str">
        <x:f>IF(COUNTA(C7:K7)=9,"Complete","Missing fields")</x:f>
        <x:v>Complete</x:v>
      </x:c>
    </x:row>
    <x:row r="8" ht="78" customHeight="1">
      <x:c r="A8" s="42" t="str">
        <x:v>SPEC-04</x:v>
      </x:c>
      <x:c r="B8" s="36" t="str">
        <x:v>New Catering Voucher Tender Key Implementation on POS</x:v>
      </x:c>
      <x:c r="C8" s="44" t="str">
        <x:v>HIGH</x:v>
      </x:c>
      <x:c r="D8" s="38" t="str">
        <x:v>Use new voucher tender; complete catering transaction; validate amount/tax/balance; verify all named reports and analytics</x:v>
      </x:c>
      <x:c r="E8" s="38" t="str">
        <x:v>Tender works and appears in a key financial report</x:v>
      </x:c>
      <x:c r="F8" s="38" t="str">
        <x:v>Existing tenders; catering; void/refund; totals</x:v>
      </x:c>
      <x:c r="G8" s="38" t="str">
        <x:v>POS reporting, analytics, BI/third-party reporting</x:v>
      </x:c>
      <x:c r="H8" s="38" t="str">
        <x:v>Partial/mixed tender; over/under amount; refund</x:v>
      </x:c>
      <x:c r="I8" s="38" t="str">
        <x:v>Voucher validation rules; financial mapping; refund and split-tender requirements</x:v>
      </x:c>
      <x:c r="J8" s="38" t="str">
        <x:v>Money and multiple reporting consumers make this high risk</x:v>
      </x:c>
      <x:c r="K8" s="38" t="str">
        <x:v>Tender IDs/categories must remain consistent across reporting pipelines</x:v>
      </x:c>
      <x:c r="L8" s="38" t="str">
        <x:v>Exclude loyalty/KDS as directed</x:v>
      </x:c>
      <x:c r="M8" s="46" t="str">
        <x:f>IF(COUNTA(C8:K8)=9,"Complete","Missing fields")</x:f>
        <x:v>Complete</x:v>
      </x:c>
    </x:row>
    <x:row r="9" ht="78" customHeight="1">
      <x:c r="A9" s="42" t="str">
        <x:v>SPEC-05</x:v>
      </x:c>
      <x:c r="B9" s="36" t="str">
        <x:v>New Extra-Large Beverage Size Addition to Menu</x:v>
      </x:c>
      <x:c r="C9" s="44" t="str">
        <x:v>HIGH</x:v>
      </x:c>
      <x:c r="D9" s="38" t="str">
        <x:v>Validate XL eligibility; 2× medium base price; six default modifiers; threshold behavior; seasonal variants</x:v>
      </x:c>
      <x:c r="E9" s="38" t="str">
        <x:v>XL can be ordered at correct initial price</x:v>
      </x:c>
      <x:c r="F9" s="38" t="str">
        <x:v>Existing sizes, menu items and modifier pricing</x:v>
      </x:c>
      <x:c r="G9" s="38" t="str">
        <x:v>Pricing/menu configuration</x:v>
      </x:c>
      <x:c r="H9" s="38" t="str">
        <x:v>Modification combinations; rounding; default removal</x:v>
      </x:c>
      <x:c r="I9" s="38" t="str">
        <x:v>Meaning of threshold; modifier pricing after six; price-rounding rule</x:v>
      </x:c>
      <x:c r="J9" s="38" t="str">
        <x:v>Customer-facing price calculation has direct revenue impact</x:v>
      </x:c>
      <x:c r="K9" s="38" t="str">
        <x:v>POS menu pricing often combines item-size and modifier rules</x:v>
      </x:c>
      <x:c r="L9" s="38" t="str">
        <x:v>Representative item sampling acceptable if rules are shared</x:v>
      </x:c>
      <x:c r="M9" s="46" t="str">
        <x:f>IF(COUNTA(C9:K9)=9,"Complete","Missing fields")</x:f>
        <x:v>Complete</x:v>
      </x:c>
    </x:row>
    <x:row r="10" ht="78" customHeight="1">
      <x:c r="A10" s="42" t="str">
        <x:v>SPEC-06</x:v>
      </x:c>
      <x:c r="B10" s="36" t="str">
        <x:v>Menu Item Availability App — Time Window Configuration Enhancement</x:v>
      </x:c>
      <x:c r="C10" s="44" t="str">
        <x:v>HIGH</x:v>
      </x:c>
      <x:c r="D10" s="38" t="str">
        <x:v>Validate configurable dates/times; repeated daily activation; expiration; POS 18/19</x:v>
      </x:c>
      <x:c r="E10" s="38" t="str">
        <x:v>Schedule accepted and changes availability at expected time</x:v>
      </x:c>
      <x:c r="F10" s="38" t="str">
        <x:v>Existing schedules; unrelated availability</x:v>
      </x:c>
      <x:c r="G10" s="38" t="str">
        <x:v>Extension and POS availability logic</x:v>
      </x:c>
      <x:c r="H10" s="38" t="str">
        <x:v>Midnight crossing; boundary values; restart; one-day schedule</x:v>
      </x:c>
      <x:c r="I10" s="38" t="str">
        <x:v>Local timezone; boundary inclusivity; overnight behavior</x:v>
      </x:c>
      <x:c r="J10" s="38" t="str">
        <x:v>Time rules plus version compatibility create many edge conditions</x:v>
      </x:c>
      <x:c r="K10" s="38" t="str">
        <x:v>Store scheduling should normally use local operational time</x:v>
      </x:c>
      <x:c r="L10" s="38" t="str">
        <x:v>18.x first</x:v>
      </x:c>
      <x:c r="M10" s="46" t="str">
        <x:f>IF(COUNTA(C10:K10)=9,"Complete","Missing fields")</x:f>
        <x:v>Complete</x:v>
      </x:c>
    </x:row>
    <x:row r="11" ht="78" customHeight="1">
      <x:c r="A11" s="42" t="str">
        <x:v>SPEC-08</x:v>
      </x:c>
      <x:c r="B11" s="36" t="str">
        <x:v>Role-Based Access Control — Restrict Void on Empty Check for Fraud Prevention</x:v>
      </x:c>
      <x:c r="C11" s="44" t="str">
        <x:v>HIGH</x:v>
      </x:c>
      <x:c r="D11" s="38" t="str">
        <x:v>Validate blocked empty-check void for restricted users; preserve correct actions for authorized users; test return/item void/open check; both brands</x:v>
      </x:c>
      <x:c r="E11" s="38" t="str">
        <x:v>Restricted scenario is blocked and legitimate sale works</x:v>
      </x:c>
      <x:c r="F11" s="38" t="str">
        <x:v>All nearby permission-controlled functions</x:v>
      </x:c>
      <x:c r="G11" s="38" t="str">
        <x:v>Role configuration distribution</x:v>
      </x:c>
      <x:c r="H11" s="38" t="str">
        <x:v>Role switch; approval/override; login/logout; last-item removal</x:v>
      </x:c>
      <x:c r="I11" s="38" t="str">
        <x:v>Exact affected roles; manager override; audit trail</x:v>
      </x:c>
      <x:c r="J11" s="38" t="str">
        <x:v>Security/fraud requirement requires negative and permission testing</x:v>
      </x:c>
      <x:c r="K11" s="38" t="str">
        <x:v>POS permissions may share flags across several transaction functions</x:v>
      </x:c>
      <x:c r="L11" s="38" t="str">
        <x:v>Food item is required test data</x:v>
      </x:c>
      <x:c r="M11" s="46" t="str">
        <x:f>IF(COUNTA(C11:K11)=9,"Complete","Missing fields")</x:f>
        <x:v>Complete</x:v>
      </x:c>
    </x:row>
    <x:row r="12" ht="78" customHeight="1">
      <x:c r="A12" s="42" t="str">
        <x:v>SPEC-09</x:v>
      </x:c>
      <x:c r="B12" s="36" t="str">
        <x:v>Delivery Markup Percentage Update for Third-Party Delivery Platform</x:v>
      </x:c>
      <x:c r="C12" s="44" t="str">
        <x:v>MEDIUM</x:v>
      </x:c>
      <x:c r="D12" s="38" t="str">
        <x:v>Validate 26% markup for provider and both brands; validate effective period; confirm other providers unchanged</x:v>
      </x:c>
      <x:c r="E12" s="38" t="str">
        <x:v>Representative transaction reflects 26%</x:v>
      </x:c>
      <x:c r="F12" s="38" t="str">
        <x:v>Other delivery markups; existing report totals</x:v>
      </x:c>
      <x:c r="G12" s="38" t="str">
        <x:v>Delivery reporting and analytics</x:v>
      </x:c>
      <x:c r="H12" s="38" t="str">
        <x:v>Effective-date edge; refund; rounding; delayed report</x:v>
      </x:c>
      <x:c r="I12" s="38" t="str">
        <x:v>Retroactive rule; effective timestamp; third-party platform expectation</x:v>
      </x:c>
      <x:c r="J12" s="38" t="str">
        <x:v>Technically small config update, though reporting validation is necessary</x:v>
      </x:c>
      <x:c r="K12" s="38" t="str">
        <x:v>Percentage configuration can propagate downstream without changing transaction behavior</x:v>
      </x:c>
      <x:c r="L12" s="38" t="str">
        <x:v>Raise to HIGH if historical data requires reprocessing</x:v>
      </x:c>
      <x:c r="M12" s="46" t="str">
        <x:f>IF(COUNTA(C12:K12)=9,"Complete","Missing fields")</x:f>
        <x:v>Complete</x:v>
      </x:c>
    </x:row>
    <x:row r="13" ht="78" customHeight="1">
      <x:c r="A13" s="42" t="str">
        <x:v>SPEC-10</x:v>
      </x:c>
      <x:c r="B13" s="36" t="str">
        <x:v>SSL Certificate Renewal for Loyalty Platform Integration</x:v>
      </x:c>
      <x:c r="C13" s="44" t="str">
        <x:v>HIGH</x:v>
      </x:c>
      <x:c r="D13" s="38" t="str">
        <x:v>Install new cert; point POS to it; verify connection to loyalty service; run representative transaction</x:v>
      </x:c>
      <x:c r="E13" s="38" t="str">
        <x:v>TLS connection succeeds and loyalty works</x:v>
      </x:c>
      <x:c r="F13" s="38" t="str">
        <x:v>General POS/loyalty function; unaffected stores/brand</x:v>
      </x:c>
      <x:c r="G13" s="38" t="str">
        <x:v>POS/content configuration to external vendor</x:v>
      </x:c>
      <x:c r="H13" s="38" t="str">
        <x:v>Restart; old/new overlap; invalid cert in lower environment</x:v>
      </x:c>
      <x:c r="I13" s="38" t="str">
        <x:v>Certificate chain; rollback; cutover window; target devices</x:v>
      </x:c>
      <x:c r="J13" s="38" t="str">
        <x:v>Integration could become completely unavailable if certificate deployment is wrong</x:v>
      </x:c>
      <x:c r="K13" s="38" t="str">
        <x:v>Certificates depend on trust, expiration, identity and correct endpoint mapping</x:v>
      </x:c>
      <x:c r="L13" s="38" t="str">
        <x:v>Test expiration safely only outside production</x:v>
      </x:c>
      <x:c r="M13" s="46" t="str">
        <x:f>IF(COUNTA(C13:K13)=9,"Complete","Missing fields")</x:f>
        <x:v>Complete</x:v>
      </x:c>
    </x:row>
    <x:row r="14" ht="78" customHeight="1">
      <x:c r="A14" s="42" t="str">
        <x:v>SPEC-11</x:v>
      </x:c>
      <x:c r="B14" s="36" t="str">
        <x:v>Mobile App Advance Order — Price Lock Behavior When Item Prices Change Before Fulfillment</x:v>
      </x:c>
      <x:c r="C14" s="44" t="str">
        <x:v>HIGH</x:v>
      </x:c>
      <x:c r="D14" s="38" t="str">
        <x:v>Create and prepay future order; change price; fulfill later; verify charged/original price remains consistent</x:v>
      </x:c>
      <x:c r="E14" s="38" t="str">
        <x:v>Advance order completes</x:v>
      </x:c>
      <x:c r="F14" s="38" t="str">
        <x:v>Immediate orders; unchanged future orders</x:v>
      </x:c>
      <x:c r="G14" s="38" t="str">
        <x:v>App/order system/POS/payment state</x:v>
      </x:c>
      <x:c r="H14" s="38" t="str">
        <x:v>Price down/up; modifier price; mixed changed/unchanged items</x:v>
      </x:c>
      <x:c r="I14" s="38" t="str">
        <x:v>Taxes; modifiers; refund/reprice behavior; unavailable items</x:v>
      </x:c>
      <x:c r="J14" s="38" t="str">
        <x:v>Financial consistency between original payment and later fulfillment is critical</x:v>
      </x:c>
      <x:c r="K14" s="38" t="str">
        <x:v>Prepayment usually requires stored order pricing</x:v>
      </x:c>
      <x:c r="L14" s="38" t="str">
        <x:v>Main acceptance criterion should be explicitly agreed before execution</x:v>
      </x:c>
      <x:c r="M14" s="46" t="str">
        <x:f>IF(COUNTA(C14:K14)=9,"Complete","Missing fields")</x:f>
        <x:v>Complete</x:v>
      </x:c>
    </x:row>
    <x:row r="15" ht="78" customHeight="1">
      <x:c r="A15" s="42" t="str">
        <x:v>SPEC-12</x:v>
      </x:c>
      <x:c r="B15" s="36" t="str">
        <x:v>Financial Report Layout Change — Move Third-Party Delivery Detail Section to Bottom</x:v>
      </x:c>
      <x:c r="C15" s="44" t="str">
        <x:v>MEDIUM</x:v>
      </x:c>
      <x:c r="D15" s="38" t="str">
        <x:v>Check new report order; verify moved section; confirm summary section remains where expected; reconcile values</x:v>
      </x:c>
      <x:c r="E15" s="38" t="str">
        <x:v>Report renders and new layout is visible</x:v>
      </x:c>
      <x:c r="F15" s="38" t="str">
        <x:v>Financial totals; other report sections; export/print</x:v>
      </x:c>
      <x:c r="G15" s="38" t="str">
        <x:v>NONE</x:v>
      </x:c>
      <x:c r="H15" s="38" t="str">
        <x:v>Long report and page-break conditions</x:v>
      </x:c>
      <x:c r="I15" s="38" t="str">
        <x:v>Which report formats count; exact desired order</x:v>
      </x:c>
      <x:c r="J15" s="38" t="str">
        <x:v>Layout-only request with low integration complexity</x:v>
      </x:c>
      <x:c r="K15" s="38" t="str">
        <x:v>Report formatting can introduce page/pagination defects</x:v>
      </x:c>
      <x:c r="L15" s="38" t="str">
        <x:v>No calculation change assumed</x:v>
      </x:c>
      <x:c r="M15" s="46" t="str">
        <x:f>IF(COUNTA(C15:K15)=9,"Complete","Missing fields")</x:f>
        <x:v>Complete</x:v>
      </x:c>
    </x:row>
    <x:row r="16" ht="78" customHeight="1">
      <x:c r="A16" s="42" t="str">
        <x:v>SPEC-13</x:v>
      </x:c>
      <x:c r="B16" s="36" t="str">
        <x:v>POS Hierarchy Zone Addition for Full-Menu Non-Traditional Store Locations</x:v>
      </x:c>
      <x:c r="C16" s="44" t="str">
        <x:v>MEDIUM</x:v>
      </x:c>
      <x:c r="D16" s="38" t="str">
        <x:v>Assign store to new hierarchy zone; verify expected standard config/pages; ensure limited config is excluded</x:v>
      </x:c>
      <x:c r="E16" s="38" t="str">
        <x:v>Store downloads correct menu/configuration</x:v>
      </x:c>
      <x:c r="F16" s="38" t="str">
        <x:v>Existing hierarchy zones and a reassignment test</x:v>
      </x:c>
      <x:c r="G16" s="38" t="str">
        <x:v>Hierarchy to POS configuration</x:v>
      </x:c>
      <x:c r="H16" s="38" t="str">
        <x:v>Refresh; local override; move zone</x:v>
      </x:c>
      <x:c r="I16" s="38" t="str">
        <x:v>Inheritance order; definition of standard full-menu configuration</x:v>
      </x:c>
      <x:c r="J16" s="38" t="str">
        <x:v>Scope is configuration inheritance rather than new functional logic</x:v>
      </x:c>
      <x:c r="K16" s="38" t="str">
        <x:v>Parent configuration is often inherited until overridden locally</x:v>
      </x:c>
      <x:c r="L16" s="38" t="str">
        <x:v>Could be HIGH if zone is being applied to many production stores simultaneously</x:v>
      </x:c>
      <x:c r="M16" s="46" t="str">
        <x:f>IF(COUNTA(C16:K16)=9,"Complete","Missing fields")</x:f>
        <x:v>Complete</x:v>
      </x:c>
    </x:row>
    <x:row r="17" ht="78" customHeight="1">
      <x:c r="A17" s="42" t="str">
        <x:v>SPEC-14</x:v>
      </x:c>
      <x:c r="B17" s="36" t="str">
        <x:v>Digital Ordering App Version Upgrade — Multi-Device and Multi-OS Compatibility Testing</x:v>
      </x:c>
      <x:c r="C17" s="44" t="str">
        <x:v>HIGH</x:v>
      </x:c>
      <x:c r="D17" s="38" t="str">
        <x:v>Install/upgrade third-party app on four required device/OS combinations; test core workflows; apply release-note-specific checks</x:v>
      </x:c>
      <x:c r="E17" s="38" t="str">
        <x:v>App starts and core workflow works</x:v>
      </x:c>
      <x:c r="F17" s="38" t="str">
        <x:v>Production OS core regression</x:v>
      </x:c>
      <x:c r="G17" s="38" t="str">
        <x:v>App/backend integrations used by normal workflow</x:v>
      </x:c>
      <x:c r="H17" s="38" t="str">
        <x:v>Background/foreground; permissions; rotation; connectivity</x:v>
      </x:c>
      <x:c r="I17" s="38" t="str">
        <x:v>Release notes; installation path; mandatory regression list</x:v>
      </x:c>
      <x:c r="J17" s="38" t="str">
        <x:v>OS/device matrix creates material compatibility uncertainty</x:v>
      </x:c>
      <x:c r="K17" s="38" t="str">
        <x:v>Major OS changes can alter permissions and SDK behavior</x:v>
      </x:c>
      <x:c r="L17" s="38" t="str">
        <x:v>iOS 18.5 first</x:v>
      </x:c>
      <x:c r="M17" s="46" t="str">
        <x:f>IF(COUNTA(C17:K17)=9,"Complete","Missing fields")</x:f>
        <x:v>Complete</x:v>
      </x:c>
    </x:row>
    <x:row r="18" ht="78" customHeight="1">
      <x:c r="A18" s="42" t="str">
        <x:v>SPEC-15</x:v>
      </x:c>
      <x:c r="B18" s="36" t="str">
        <x:v>Gift Card Transaction Cancel Messaging Fix — Validate Correct Terminal Display With Cloud Processing Disabled</x:v>
      </x:c>
      <x:c r="C18" s="44" t="str">
        <x:v>MEDIUM</x:v>
      </x:c>
      <x:c r="D18" s="38" t="str">
        <x:v>Turn off cloud processing; cancel gift-card transaction; verify exact terminal wording</x:v>
      </x:c>
      <x:c r="E18" s="38" t="str">
        <x:v>Gift-card cancellation works and correct message appears</x:v>
      </x:c>
      <x:c r="F18" s="38" t="str">
        <x:v>Standard cancellation and gift-card usage</x:v>
      </x:c>
      <x:c r="G18" s="38" t="str">
        <x:v>POS-to-terminal command/message behavior</x:v>
      </x:c>
      <x:c r="H18" s="38" t="str">
        <x:v>Cancel at different points; repeat after restart</x:v>
      </x:c>
      <x:c r="I18" s="38" t="str">
        <x:v>Gift-card transaction types; version matrix; enabled-mode comparison</x:v>
      </x:c>
      <x:c r="J18" s="38" t="str">
        <x:v>Narrow defect with clear expected result</x:v>
      </x:c>
      <x:c r="K18" s="38" t="str">
        <x:v>Device UI strings can depend on processor state and command mappings</x:v>
      </x:c>
      <x:c r="L18" s="38" t="str">
        <x:v>Literal message validation matters</x:v>
      </x:c>
      <x:c r="M18" s="46" t="str">
        <x:f>IF(COUNTA(C18:K18)=9,"Complete","Missing fields")</x:f>
        <x:v>Complete</x:v>
      </x:c>
    </x:row>
    <x:row r="19" ht="78" customHeight="1">
      <x:c r="A19" s="42" t="str">
        <x:v>SPEC-16</x:v>
      </x:c>
      <x:c r="B19" s="36" t="str">
        <x:v>Regression Testing for Existing Serialized Coupons After New Promotional BIN Ranges Added</x:v>
      </x:c>
      <x:c r="C19" s="44" t="str">
        <x:v>MEDIUM</x:v>
      </x:c>
      <x:c r="D19" s="38" t="str">
        <x:v>Test existing serialized coupons after new BIN addition; ensure correct recognition and discount</x:v>
      </x:c>
      <x:c r="E19" s="38" t="str">
        <x:v>One representative legacy coupon succeeds</x:v>
      </x:c>
      <x:c r="F19" s="38" t="str">
        <x:v>Several legacy BINs; invalid/expired coupon; boundary prefixes</x:v>
      </x:c>
      <x:c r="G19" s="38" t="str">
        <x:v>CMS to POS coupon setup</x:v>
      </x:c>
      <x:c r="H19" s="38" t="str">
        <x:v>Range boundaries; similar identifiers; multiple coupon attempt</x:v>
      </x:c>
      <x:c r="I19" s="38" t="str">
        <x:v>Required legacy coupon set; overlap concerns; stacking</x:v>
      </x:c>
      <x:c r="J19" s="38" t="str">
        <x:v>Regression is targeted and new ranges have already received functional validation</x:v>
      </x:c>
      <x:c r="K19" s="38" t="str">
        <x:v>Prefix/range collisions are a common cause of coupon regressions</x:v>
      </x:c>
      <x:c r="L19" s="38" t="str">
        <x:v>Sample intelligently across legacy ranges</x:v>
      </x:c>
      <x:c r="M19" s="46" t="str">
        <x:f>IF(COUNTA(C19:K19)=9,"Complete","Missing fields")</x:f>
        <x:v>Complete</x:v>
      </x:c>
    </x:row>
    <x:row r="20" ht="78" customHeight="1">
      <x:c r="A20" s="42" t="str">
        <x:v>SPEC-17</x:v>
      </x:c>
      <x:c r="B20" s="36" t="str">
        <x:v>Antivirus Exclusion Script Deployment for Remote Management Tool — POS Terminal Validation</x:v>
      </x:c>
      <x:c r="C20" s="44" t="str">
        <x:v>HIGH</x:v>
      </x:c>
      <x:c r="D20" s="38" t="str">
        <x:v>Apply script; confirm exact Defender exclusions; verify remote tool works; validate POS operation</x:v>
      </x:c>
      <x:c r="E20" s="38" t="str">
        <x:v>Script succeeds and remote connection works</x:v>
      </x:c>
      <x:c r="F20" s="38" t="str">
        <x:v>Basic POS and network operations; Defender status after reboot</x:v>
      </x:c>
      <x:c r="G20" s="38" t="str">
        <x:v>Windows security controls and remote support tooling</x:v>
      </x:c>
      <x:c r="H20" s="38" t="str">
        <x:v>Script rerun; reboot; tool update; missing path</x:v>
      </x:c>
      <x:c r="I20" s="38" t="str">
        <x:v>Approved exclusion list; target Windows versions; persistence expectations</x:v>
      </x:c>
      <x:c r="J20" s="38" t="str">
        <x:v>Security configuration has meaningful store-support and protection risk</x:v>
      </x:c>
      <x:c r="K20" s="38" t="str">
        <x:v>Exclusions must permit target process without broadly disabling protection</x:v>
      </x:c>
      <x:c r="L20" s="38" t="str">
        <x:v>No malware execution required</x:v>
      </x:c>
      <x:c r="M20" s="46" t="str">
        <x:f>IF(COUNTA(C20:K20)=9,"Complete","Missing fields")</x:f>
        <x:v>Complete</x:v>
      </x:c>
    </x:row>
    <x:row r="21" ht="78" customHeight="1">
      <x:c r="A21" s="42" t="str">
        <x:v>SPEC-18</x:v>
      </x:c>
      <x:c r="B21" s="36" t="str">
        <x:v>POS Crew Notification Feature Enablement on POS Workstations</x:v>
      </x:c>
      <x:c r="C21" s="44" t="str">
        <x:v>MEDIUM</x:v>
      </x:c>
      <x:c r="D21" s="38" t="str">
        <x:v>Create/schedule notification; verify employee sees it at clock-in; verify edit/expiration; validate example message types</x:v>
      </x:c>
      <x:c r="E21" s="38" t="str">
        <x:v>One scheduled message displays correctly</x:v>
      </x:c>
      <x:c r="F21" s="38" t="str">
        <x:v>Clock-in process; basic user roles; transaction activity afterward</x:v>
      </x:c>
      <x:c r="G21" s="38" t="str">
        <x:v>Management/configuration service to POS</x:v>
      </x:c>
      <x:c r="H21" s="38" t="str">
        <x:v>Several messages; expired message; long message; repeat login</x:v>
      </x:c>
      <x:c r="I21" s="38" t="str">
        <x:v>Creator roles; acknowledgment; ordering; max length; schedule timezone</x:v>
      </x:c>
      <x:c r="J21" s="38" t="str">
        <x:v>Feature is relatively isolated unless message service affects broader POS login</x:v>
      </x:c>
      <x:c r="K21" s="38" t="str">
        <x:v>Employee notifications are generally configuration-driven and event-triggered</x:v>
      </x:c>
      <x:c r="L21" s="38" t="str">
        <x:v>Escalate depth if notification blocks clock-in or becomes mandatory acknowledgment</x:v>
      </x:c>
      <x:c r="M21" s="46" t="str">
        <x:f>IF(COUNTA(C21:K21)=9,"Complete","Missing fields")</x:f>
        <x:v>Complete</x:v>
      </x:c>
    </x:row>
    <x:row r="22" ht="78" customHeight="1">
      <x:c r="A22" s="42" t="str">
        <x:v>SPEC-19</x:v>
      </x:c>
      <x:c r="B22" s="36" t="str">
        <x:v>Secondary DNS Provider Change — Broad System Regression Across All Network-Dependent Functions</x:v>
      </x:c>
      <x:c r="C22" s="44" t="str">
        <x:v>HIGH</x:v>
      </x:c>
      <x:c r="D22" s="38" t="str">
        <x:v>Configure secondary DNS; simulate primary failure; verify name resolution; execute representative critical functions from listed services; restore primary</x:v>
      </x:c>
      <x:c r="E22" s="38" t="str">
        <x:v>DNS resolution and critical transaction services work</x:v>
      </x:c>
      <x:c r="F22" s="38" t="str">
        <x:v>Listed network functions under normal state; post-failover recovery</x:v>
      </x:c>
      <x:c r="G22" s="38" t="str">
        <x:v>DNS plus payment, ordering, delivery, KDS, loyalty, reporting and support services</x:v>
      </x:c>
      <x:c r="H22" s="38" t="str">
        <x:v>Cached records; restart; intermittent outage; primary return</x:v>
      </x:c>
      <x:c r="I22" s="38" t="str">
        <x:v>Failover mechanism; private domains; expected timing; exact resolver addresses</x:v>
      </x:c>
      <x:c r="J22" s="38" t="str">
        <x:v>A DNS error could simultaneously affect many independent restaurant systems</x:v>
      </x:c>
      <x:c r="K22" s="38" t="str">
        <x:v>Secondary DNS use is implementation-specific and public DNS will not resolve private zones</x:v>
      </x:c>
      <x:c r="L22" s="38" t="str">
        <x:v>Full function list should be risk-prioritized rather than exhaustively repeated for identical dependencies</x:v>
      </x:c>
      <x:c r="M22" s="46" t="str">
        <x:f>IF(COUNTA(C22:K22)=9,"Complete","Missing fields")</x:f>
        <x:v>Complete</x:v>
      </x:c>
    </x:row>
  </x:sheetData>
  <x:conditionalFormatting sqref="M5:M22">
    <x:cfRule type="containsText" dxfId="0" priority="1" operator="containsText" text="Missing fields"/>
    <x:cfRule type="containsText" dxfId="1" priority="2" operator="containsText" text="Complete"/>
  </x:conditionalFormatting>
  <x:dataValidations count="1">
    <x:dataValidation type="list" sqref="C5:C22">
      <x:formula1>"LOW,MEDIUM,HIGH"</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35" hidden="0" customWidth="1"/>
    <x:col min="3" max="3" width="27" hidden="0" customWidth="1"/>
    <x:col min="4" max="4" width="35" hidden="0" customWidth="1"/>
    <x:col min="5" max="5" width="72" hidden="0" customWidth="1"/>
    <x:col min="6" max="6" width="65" hidden="0" customWidth="1"/>
  </x:cols>
  <x:sheetData>
    <x:row r="2">
      <x:c r="A2" s="1" t="str">
        <x:v>Evaluation specifications</x:v>
      </x:c>
      <x:c r="B2" s="1"/>
      <x:c r="C2" s="1"/>
      <x:c r="D2" s="1"/>
      <x:c r="E2" s="1"/>
      <x:c r="F2" s="1"/>
    </x:row>
    <x:row r="3">
      <x:c r="A3" s="16"/>
      <x:c r="B3" s="16" t="str">
        <x:v>Frozen source hash: 48d94cce163cf21efa712939bd4334b0a89260434aafe0d83a00cbd2dd3856f0. Historical ground-truth fields are deliberately excluded.</x:v>
      </x:c>
      <x:c r="C3" s="16"/>
      <x:c r="D3" s="16"/>
      <x:c r="E3" s="16"/>
      <x:c r="F3" s="16"/>
    </x:row>
    <x:row r="4" ht="32" customHeight="1">
      <x:c r="A4" s="28" t="str">
        <x:v>Spec ID</x:v>
      </x:c>
      <x:c r="B4" s="29" t="str">
        <x:v>Title</x:v>
      </x:c>
      <x:c r="C4" s="29" t="str">
        <x:v>Change type</x:v>
      </x:c>
      <x:c r="D4" s="29" t="str">
        <x:v>System area</x:v>
      </x:c>
      <x:c r="E4" s="29" t="str">
        <x:v>Description</x:v>
      </x:c>
      <x:c r="F4" s="30" t="str">
        <x:v>Acceptance criteria</x:v>
      </x:c>
    </x:row>
    <x:row r="5" ht="112" customHeight="1">
      <x:c r="A5" s="47" t="str">
        <x:v>SPEC-01</x:v>
      </x:c>
      <x:c r="B5" s="33" t="str">
        <x:v>Online Ordering Portal Still Shows Menu Item as Available After Overnight Menu Sync</x:v>
      </x:c>
      <x:c r="C5" s="33" t="str">
        <x:v>Bug fix / Integration patch</x:v>
      </x:c>
      <x:c r="D5" s="33" t="str">
        <x:v>POS to online ordering platform integration (menu sync)</x:v>
      </x:c>
      <x:c r="E5" s="33" t="str">
        <x:v>When a menu item is marked as Out of Stock on the POS, the system is expected to propagate this status to the online ordering portal after the configured sync interval. However, even after leaving the system overnight to complete a full menu sync cycle, the item continues to appear as available in the online portal. Customers who attempt to add the item to their cart receive an error message at checkout rather than seeing the item correctly flagged as unavailable.</x:v>
      </x:c>
      <x:c r="F5" s="33" t="str">
        <x:v>1. The item should display Out of Stock status on the POS immediately after being marked as such.
2. The item should not be orderable on the online web and mobile ordering apps after being marked out of stock.
3. After the Out of Stock flag is removed and saved, the item should become visible and orderable again on both POS and online ordering apps.</x:v>
      </x:c>
    </x:row>
    <x:row r="6" ht="112" customHeight="1">
      <x:c r="A6" s="48" t="str">
        <x:v>SPEC-02</x:v>
      </x:c>
      <x:c r="B6" s="34" t="str">
        <x:v>Payment Device Firmware Update — Quick Chip Reconnection Fix</x:v>
      </x:c>
      <x:c r="C6" s="34" t="str">
        <x:v>Patch (vendor-delivered firmware fix)</x:v>
      </x:c>
      <x:c r="D6" s="34" t="str">
        <x:v>Payment processing / POS to payment terminal integration</x:v>
      </x:c>
      <x:c r="E6" s="34" t="str">
        <x:v>Vendor has delivered a new firmware version for the payment processing component to fix a known quick chip match error. The issue occurs when the network cable is unplugged from the payment device mid-transaction: the transaction fails with a communication error. When the cable is reconnected and a new transaction is attempted, the firmware is unable to re-establish the connection, causing continued failure. The new firmware should resolve the reconnection issue. Testing should be performed across 6 device/POS version combinations: POS v18 and v19 each paired with terminal models A, B, and C.</x:v>
      </x:c>
      <x:c r="F6" s="34" t="str">
        <x:v>None supplied</x:v>
      </x:c>
    </x:row>
    <x:row r="7" ht="112" customHeight="1">
      <x:c r="A7" s="48" t="str">
        <x:v>SPEC-03</x:v>
      </x:c>
      <x:c r="B7" s="34" t="str">
        <x:v>New Wi-Fi Access Point Hardware Rollout — Indoor Wi-Fi 7 Model</x:v>
      </x:c>
      <x:c r="C7" s="34" t="str">
        <x:v>Infrastructure / hardware replacement</x:v>
      </x:c>
      <x:c r="D7" s="34" t="str">
        <x:v>Network infrastructure (store connectivity, line-busting, POS communication)</x:v>
      </x:c>
      <x:c r="E7" s="34" t="str">
        <x:v>A new indoor Wi-Fi 7 access point model is being introduced to replace existing Wi-Fi 6 models. The new hardware has been installed in lab environments on both primary and secondary network templates. Testing is required across all production network types including the line-busting tablet network. Networks to test: staff/management network (test with management device), brand-approved device network (test with any approved device), POS/line-busting network (test with line-busting tablet), guest network (test with any device).</x:v>
      </x:c>
      <x:c r="F7" s="34" t="str">
        <x:v>None supplied</x:v>
      </x:c>
    </x:row>
    <x:row r="8" ht="112" customHeight="1">
      <x:c r="A8" s="48" t="str">
        <x:v>SPEC-04</x:v>
      </x:c>
      <x:c r="B8" s="34" t="str">
        <x:v>New Catering Voucher Tender Key Implementation on POS</x:v>
      </x:c>
      <x:c r="C8" s="34" t="str">
        <x:v>New feature (new payment tender type)</x:v>
      </x:c>
      <x:c r="D8" s="34" t="str">
        <x:v>Payment processing, POS, financial reporting, analytics, third-party data pipeline</x:v>
      </x:c>
      <x:c r="E8" s="34" t="str">
        <x:v>Implement a dedicated catering voucher tender key on the POS that behaves like a voucher payment while maintaining existing in-store catering order type behavior. In Scope: transaction experience with catering voucher tendering; POS functionality for tender behavior and processing; regression testing on existing POS functionality; POS reporting in Property Financial, Employee Financial, and Revenue Center Financial reports; analytics reports including system sales, tender media, POS category, tax, 24h sales summary, and new tender detail; third-party reporting of sales and data flow to business intelligence platform. Out of Scope: database-level changes; configuration workflow validation (not yet defined); kitchen display unit order routing (not yet implemented); loyalty program transaction validation; third-party reference implementation.</x:v>
      </x:c>
      <x:c r="F8" s="34" t="str">
        <x:v>None supplied</x:v>
      </x:c>
    </x:row>
    <x:row r="9" ht="112" customHeight="1">
      <x:c r="A9" s="48" t="str">
        <x:v>SPEC-05</x:v>
      </x:c>
      <x:c r="B9" s="34" t="str">
        <x:v>New Extra-Large Beverage Size Addition to Menu</x:v>
      </x:c>
      <x:c r="C9" s="34" t="str">
        <x:v>New feature (menu item / size tier addition)</x:v>
      </x:c>
      <x:c r="D9" s="34" t="str">
        <x:v>Menu configuration, POS ordering, pricing engine</x:v>
      </x:c>
      <x:c r="E9" s="34" t="str">
        <x:v>A new extra-large size tier is being introduced for iced coffee, iced latte, and refreshers (standard varieties). Seasonal hero build variants are also being added for specific items. The new size introduces a new tier in threshold pricing with a default modifier count of 6. It should price and appear as 2x the medium beverage price. No suggested retail price is applied to the default modifier build. All modifications remain available.</x:v>
      </x:c>
      <x:c r="F9" s="34" t="str">
        <x:v>None supplied</x:v>
      </x:c>
    </x:row>
    <x:row r="10" ht="112" customHeight="1">
      <x:c r="A10" s="48" t="str">
        <x:v>SPEC-06</x:v>
      </x:c>
      <x:c r="B10" s="34" t="str">
        <x:v>Menu Item Availability App — Time Window Configuration Enhancement</x:v>
      </x:c>
      <x:c r="C10" s="34" t="str">
        <x:v>Enhancement (software behavior change in version update)</x:v>
      </x:c>
      <x:c r="D10" s="34" t="str">
        <x:v>POS extension app / menu item scheduling</x:v>
      </x:c>
      <x:c r="E10" s="34" t="str">
        <x:v>A new build of the Menu Item Availability extension app changes how scheduling windows are configured. The existing version uses a single combined start datetime and end datetime, meaning the app runs only once for that datetime range. The new version separates start and end date from start and end time, allowing the app to run every day at the defined time window until the end date. The extension app is available in both POS platform version 18.x and 19.x. Testing in the older version is time-sensitive due to a dependency on non-traditional store locations.</x:v>
      </x:c>
      <x:c r="F10" s="34" t="str">
        <x:v>None supplied</x:v>
      </x:c>
    </x:row>
    <x:row r="11" ht="112" customHeight="1">
      <x:c r="A11" s="48" t="str">
        <x:v>SPEC-08</x:v>
      </x:c>
      <x:c r="B11" s="34" t="str">
        <x:v>Role-Based Access Control — Restrict Void on Empty Check for Fraud Prevention</x:v>
      </x:c>
      <x:c r="C11" s="34" t="str">
        <x:v>Security / access control configuration change</x:v>
      </x:c>
      <x:c r="D11" s="34" t="str">
        <x:v>POS role configuration, transaction management</x:v>
      </x:c>
      <x:c r="E11" s="34" t="str">
        <x:v>A fraud pattern has been identified where external actors instruct store staff to initiate a void on an empty check, bypassing the standard transaction return process. A system option bit exists to block this behavior at the role level. This option bit will be disabled for all roles that currently have it enabled, across both brands. Roles to be restricted (currently permitted): Brand A — Shift Lead standard, Shift Lead plus, Assistant Manager, Manager, Multi-Unit, Field Engineer; Brand B — Franchisee, Manager, Shift Leader. Roles with no change (already require authorization): Brand A — Crew, Crew Plus; Brand B — Crew Member, Senior Crew Member. Testing should confirm the restriction blocks the fraud pattern without disrupting legitimate operations such as voiding individual items, transaction returns, and opening closed checks. Note: the scenario is replicable using a food item order, not a beverage order.</x:v>
      </x:c>
      <x:c r="F11" s="34" t="str">
        <x:v>None supplied</x:v>
      </x:c>
    </x:row>
    <x:row r="12" ht="112" customHeight="1">
      <x:c r="A12" s="48" t="str">
        <x:v>SPEC-09</x:v>
      </x:c>
      <x:c r="B12" s="34" t="str">
        <x:v>Delivery Markup Percentage Update for Third-Party Delivery Platform</x:v>
      </x:c>
      <x:c r="C12" s="34" t="str">
        <x:v>Configuration change (percentage value update)</x:v>
      </x:c>
      <x:c r="D12" s="34" t="str">
        <x:v>Reporting/analytics configuration, third-party delivery platform, data pipeline</x:v>
      </x:c>
      <x:c r="E12" s="34" t="str">
        <x:v>Per updated contractual agreement, the delivery markup for one specific third-party delivery platform is being increased from 25% to 26%, effective a defined date. This applies to both brands but only to this one delivery platform — other delivery platforms are unaffected. The change is made in the reporting and analytics configuration tool under Data Mapping settings. QA must confirm whether the markup change applies retroactively to prior transactions or only prospectively. A separate third-party reporting platform may also require a corresponding change on their side. Testing required in UAT, Pre-Production, and Production environments.</x:v>
      </x:c>
      <x:c r="F12" s="34" t="str">
        <x:v>None supplied</x:v>
      </x:c>
    </x:row>
    <x:row r="13" ht="112" customHeight="1">
      <x:c r="A13" s="48" t="str">
        <x:v>SPEC-10</x:v>
      </x:c>
      <x:c r="B13" s="34" t="str">
        <x:v>SSL Certificate Renewal for Loyalty Platform Integration</x:v>
      </x:c>
      <x:c r="C13" s="34" t="str">
        <x:v>Infrastructure / security (certificate rotation)</x:v>
      </x:c>
      <x:c r="D13" s="34" t="str">
        <x:v>POS terminals, tablets, loyalty platform integration, content management configuration</x:v>
      </x:c>
      <x:c r="E13" s="34" t="str">
        <x:v>Existing SSL certificates for a loyalty platform integration are expiring in early February. New certificates must be in place by mid-January to avoid service disruption. This renewal affects only one brand. A process runs on POS terminals and tablets to import the certificates, which are then referenced by the POS platform based on content management page settings. A new environment zone has been created in UAT for testing. Certificates have been sent to the external loyalty platform vendor for installation on their servers. Target deployment start is early January.</x:v>
      </x:c>
      <x:c r="F13" s="34" t="str">
        <x:v>None supplied</x:v>
      </x:c>
    </x:row>
    <x:row r="14" ht="112" customHeight="1">
      <x:c r="A14" s="48" t="str">
        <x:v>SPEC-11</x:v>
      </x:c>
      <x:c r="B14" s="34" t="str">
        <x:v>Mobile App Advance Order — Price Lock Behavior When Item Prices Change Before Fulfillment</x:v>
      </x:c>
      <x:c r="C14" s="34" t="str">
        <x:v>Exploratory / edge case validation</x:v>
      </x:c>
      <x:c r="D14" s="34" t="str">
        <x:v>Mobile ordering app, pricing engine, POS order processing</x:v>
      </x:c>
      <x:c r="E14" s="34" t="str">
        <x:v>A customer places an advance order for multiple items via the mobile app, selects a future pickup time (e.g., next day 9:00 AM), and completes payment at the current price. Before the order is fulfilled, the price of one or more ordered items is changed in the system. The expected behavior is that the order processes at the price locked in at the time of ordering, with no errors or price discrepancies when the mobile app sends the order to the POS the following day. The objective is to confirm or disprove this expected behavior. This scenario has urgency as a product decision depends on the outcome.</x:v>
      </x:c>
      <x:c r="F14" s="34" t="str">
        <x:v>None supplied</x:v>
      </x:c>
    </x:row>
    <x:row r="15" ht="112" customHeight="1">
      <x:c r="A15" s="48" t="str">
        <x:v>SPEC-12</x:v>
      </x:c>
      <x:c r="B15" s="34" t="str">
        <x:v>Financial Report Layout Change — Move Third-Party Delivery Detail Section to Bottom</x:v>
      </x:c>
      <x:c r="C15" s="34" t="str">
        <x:v>Enhancement (report layout / section reordering)</x:v>
      </x:c>
      <x:c r="D15" s="34" t="str">
        <x:v>Financial reporting (property-level report)</x:v>
      </x:c>
      <x:c r="E15" s="34" t="str">
        <x:v>On the Property Financial Report, the Third-Party Delivery Partner detailed sales data section currently prints under the Order Type section, where it provides supporting detail for the sales summarized in that section. Franchisees and accountants have requested this detailed section be relocated to the bottom of the report, below the Rewards section. The intent is to elevate the visibility of Tender Media, Group Sales, Discounts, and Service Charges sections, which currently appear after the delivery detail block. The summary-level delivery sales in the Order Type section should remain unchanged and continue to display correctly.</x:v>
      </x:c>
      <x:c r="F15" s="34" t="str">
        <x:v>None supplied</x:v>
      </x:c>
    </x:row>
    <x:row r="16" ht="112" customHeight="1">
      <x:c r="A16" s="48" t="str">
        <x:v>SPEC-13</x:v>
      </x:c>
      <x:c r="B16" s="34" t="str">
        <x:v>POS Hierarchy Zone Addition for Full-Menu Non-Traditional Store Locations</x:v>
      </x:c>
      <x:c r="C16" s="34" t="str">
        <x:v>Configuration change (new zone addition to hierarchy)</x:v>
      </x:c>
      <x:c r="D16" s="34" t="str">
        <x:v>POS configuration, hierarchy and zone management, menu and page design</x:v>
      </x:c>
      <x:c r="E16" s="34" t="str">
        <x:v>A new zone is being added to the non-traditional store network and properties hierarchy to support retail locations that carry the full brand menu. The new zone is designed to inherit the standard brand POS configuration rather than the limited-menu page design used by other non-traditional locations. Specifically, the new zone should pull down standard brand configuration and the correct full-menu page design, excluding the limited-menu bakery and beverage-only page design used at other non-traditional sites. Testing should confirm that the correct configuration and page design are pulled down for properties assigned to the new zone.</x:v>
      </x:c>
      <x:c r="F16" s="34" t="str">
        <x:v>None supplied</x:v>
      </x:c>
    </x:row>
    <x:row r="17" ht="112" customHeight="1">
      <x:c r="A17" s="48" t="str">
        <x:v>SPEC-14</x:v>
      </x:c>
      <x:c r="B17" s="34" t="str">
        <x:v>Digital Ordering App Version Upgrade — Multi-Device and Multi-OS Compatibility Testing</x:v>
      </x:c>
      <x:c r="C17" s="34" t="str">
        <x:v>Version upgrade (third-party application)</x:v>
      </x:c>
      <x:c r="D17" s="34" t="str">
        <x:v>Tablet-based digital ordering application, device and OS compatibility</x:v>
      </x:c>
      <x:c r="E17" s="34" t="str">
        <x:v>A new version of the digital ordering application has been released by the third-party vendor and is ready for QA testing. Testing must cover two tablet hardware generations (Gen 10 and Gen 11) and two operating system versions: iOS 18.5, which is the current production standard running in stores, and iOS 26.1, which is being validated for future deployment. First priority is iOS 18.5 validation as it is the live production configuration. Vendor release notes have been requested but are pending. Testing should cover standard app functionality and any behavior changes introduced in the new version.</x:v>
      </x:c>
      <x:c r="F17" s="34" t="str">
        <x:v>None supplied</x:v>
      </x:c>
    </x:row>
    <x:row r="18" ht="112" customHeight="1">
      <x:c r="A18" s="48" t="str">
        <x:v>SPEC-15</x:v>
      </x:c>
      <x:c r="B18" s="34" t="str">
        <x:v>Gift Card Transaction Cancel Messaging Fix — Validate Correct Terminal Display With Cloud Processing Disabled</x:v>
      </x:c>
      <x:c r="C18" s="34" t="str">
        <x:v>Bug fix (UI messaging mismatch caused by mismatched configuration files)</x:v>
      </x:c>
      <x:c r="D18" s="34" t="str">
        <x:v>Gift card processing, POS terminal display, backend cloud processing</x:v>
      </x:c>
      <x:c r="E18" s="34" t="str">
        <x:v>Mismatched configuration files are causing the wrong message to display on the POS terminal when a crew member cancels a gift card transaction. The correct expected message is CANCEL TRANSACTION. However, the terminal is currently displaying VOID NEW ITEMS AND CANCEL TRANSACTION, which is incorrect for this action. The root cause is either an override that needs to be removed or configuration files that need to be corrected. Validation should be performed with backend cloud processing turned off to confirm the correct message displays.</x:v>
      </x:c>
      <x:c r="F18" s="34" t="str">
        <x:v>None supplied</x:v>
      </x:c>
    </x:row>
    <x:row r="19" ht="112" customHeight="1">
      <x:c r="A19" s="48" t="str">
        <x:v>SPEC-16</x:v>
      </x:c>
      <x:c r="B19" s="34" t="str">
        <x:v>Regression Testing for Existing Serialized Coupons After New Promotional BIN Ranges Added</x:v>
      </x:c>
      <x:c r="C19" s="34" t="str">
        <x:v>Regression test (new content records added, validate no interference with existing)</x:v>
      </x:c>
      <x:c r="D19" s="34" t="str">
        <x:v>Coupon and discount processing, POS, content management system</x:v>
      </x:c>
      <x:c r="E19" s="34" t="str">
        <x:v>New promotional discount and coupon BIN ranges have been configured in the content management system by the menu team in the UAT environment. A separate team has already validated that the new promotional items and new BIN ranges function correctly. QA must now perform regression testing to confirm that the new BIN ranges do not interfere with existing serialized coupons and discounts that use the current BIN range configuration. This is time-sensitive because content records must be deployed to the production content management system at least one to three weeks before the go-live date.</x:v>
      </x:c>
      <x:c r="F19" s="34" t="str">
        <x:v>None supplied</x:v>
      </x:c>
    </x:row>
    <x:row r="20" ht="112" customHeight="1">
      <x:c r="A20" s="48" t="str">
        <x:v>SPEC-17</x:v>
      </x:c>
      <x:c r="B20" s="34" t="str">
        <x:v>Antivirus Exclusion Script Deployment for Remote Management Tool — POS Terminal Validation</x:v>
      </x:c>
      <x:c r="C20" s="34" t="str">
        <x:v>Security / infrastructure (script deployment and antivirus configuration)</x:v>
      </x:c>
      <x:c r="D20" s="34" t="str">
        <x:v>POS terminals, Windows Defender antivirus, remote management tooling</x:v>
      </x:c>
      <x:c r="E20" s="34" t="str">
        <x:v>A new remote management script has been created that adds Windows Defender antivirus exclusions for the latest version of a remote tunneling tool used for store support access. POS terminals at some store locations have recently flagged this tool as a potential security threat, preventing remote support sessions. The script must be tested across multiple lab environments. After the script is executed, QA must verify that the POS terminals continue to function normally, that the remote management tool is no longer flagged, and that no unexpected system behaviour results from the exclusion being applied.</x:v>
      </x:c>
      <x:c r="F20" s="34" t="str">
        <x:v>None supplied</x:v>
      </x:c>
    </x:row>
    <x:row r="21" ht="112" customHeight="1">
      <x:c r="A21" s="48" t="str">
        <x:v>SPEC-18</x:v>
      </x:c>
      <x:c r="B21" s="34" t="str">
        <x:v>POS Crew Notification Feature Enablement on POS Workstations</x:v>
      </x:c>
      <x:c r="C21" s="34" t="str">
        <x:v>New feature (POS notification scheduling and display system)</x:v>
      </x:c>
      <x:c r="D21" s="34" t="str">
        <x:v>POS workstation, employee clock-in workflow, notification management</x:v>
      </x:c>
      <x:c r="E21" s="34" t="str">
        <x:v>A POS notification feature is being enabled on POS workstations. This feature allows store owners and managers to schedule messages that will appear on POS workstation screens when a crew member clocks in. Notifications can be used to communicate information such as new promotional offers, loyalty program reminders, upsell prompts during checkout, or changes in store policy and procedures. The feature is intended to help owners and managers communicate with staff even when they are not physically present at the store.</x:v>
      </x:c>
      <x:c r="F21" s="34" t="str">
        <x:v>None supplied</x:v>
      </x:c>
    </x:row>
    <x:row r="22" ht="112" customHeight="1">
      <x:c r="A22" s="48" t="str">
        <x:v>SPEC-19</x:v>
      </x:c>
      <x:c r="B22" s="34" t="str">
        <x:v>Secondary DNS Provider Change — Broad System Regression Across All Network-Dependent Functions</x:v>
      </x:c>
      <x:c r="C22" s="34" t="str">
        <x:v>Infrastructure / network configuration change (DNS provider update)</x:v>
      </x:c>
      <x:c r="D22" s="34" t="str">
        <x:v>Network infrastructure, DNS resolution, payment processing, online ordering, delivery integrations, loyalty, reporting, employee management</x:v>
      </x:c>
      <x:c r="E22" s="34" t="str">
        <x:v>The secondary DNS provider is being changed from the current provider to Google Public DNS (a widely used public DNS resolver) to increase network redundancy. The primary DNS remains unchanged. Because DNS resolution underpins all network-dependent system functions, this change has broad potential impact and requires regression testing across all major integrated areas. Areas to be tested include but are not limited to: payment device connectivity, Wi-Fi network connectivity, remote management tool functions, kitchen display system order routing, order storing and picking, digital menu board and price change functionality, delivery platform integrations, online ordering platform orders, gift card and loyalty processing in offline mode, database reload and refresh, reporting and analytics, employee creation workflows, sales performance notification tools, and third-party order alert integrations.</x:v>
      </x:c>
      <x:c r="F22" s="34" t="str">
        <x:v>None supplied</x:v>
      </x:c>
    </x:row>
  </x:sheetData>
  <x:pageMargins left="0.7" right="0.7" top="0.75" bottom="0.75" header="0.3" footer="0.3"/>
</x:worksheet>
</file>