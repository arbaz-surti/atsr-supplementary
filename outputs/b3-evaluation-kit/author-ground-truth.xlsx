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c29e8a386e4ae4" /></Relationships>
</file>

<file path=xl/workbook.xml><?xml version="1.0" encoding="utf-8"?>
<x:workbook xmlns:x="http://schemas.openxmlformats.org/spreadsheetml/2006/main">
  <x:sheets>
    <x:sheet xmlns:r="http://schemas.openxmlformats.org/officeDocument/2006/relationships" name="Read First" sheetId="1" r:id="Rb0e49941dc9c4f66"/>
    <x:sheet xmlns:r="http://schemas.openxmlformats.org/officeDocument/2006/relationships" name="Ground Truth" sheetId="2" r:id="R1c61dc9a52f94f50"/>
    <x:sheet xmlns:r="http://schemas.openxmlformats.org/officeDocument/2006/relationships" name="Specifications" sheetId="3" r:id="R04d4a5cd8ddb41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c3b33d5bce47bf" /><Relationship Type="http://schemas.openxmlformats.org/officeDocument/2006/relationships/theme" Target="/xl/theme/theme1.xml" Id="R794cc73468654528" /><Relationship Type="http://schemas.openxmlformats.org/officeDocument/2006/relationships/sharedStrings" Target="/xl/sharedStrings.xml" Id="R2a10a21d2eab4c7a" /><Relationship Type="http://schemas.openxmlformats.org/officeDocument/2006/relationships/worksheet" Target="/xl/worksheets/sheet1.xml" Id="Rb0e49941dc9c4f66" /><Relationship Type="http://schemas.openxmlformats.org/officeDocument/2006/relationships/worksheet" Target="/xl/worksheets/sheet2.xml" Id="R1c61dc9a52f94f50" /><Relationship Type="http://schemas.openxmlformats.org/officeDocument/2006/relationships/worksheet" Target="/xl/worksheets/sheet3.xml" Id="R04d4a5cd8ddb41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AUTHOR</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0</x:v>
      </x:c>
      <x:c r="C8" s="13"/>
      <x:c r="D8" s="13"/>
      <x:c r="E8" s="13"/>
      <x:c r="F8" s="13"/>
      <x:c r="G8" s="13"/>
      <x:c r="H8" s="13"/>
    </x:row>
    <x:row r="9">
      <x:c r="A9" s="3" t="str">
        <x:v>Rows remaining</x:v>
      </x:c>
      <x:c r="B9" s="5" t="n">
        <x:f>18-B8</x:f>
        <x:v>18</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x:c r="D5" s="37"/>
      <x:c r="E5" s="37"/>
      <x:c r="F5" s="37"/>
      <x:c r="G5" s="37"/>
      <x:c r="H5" s="37"/>
      <x:c r="I5" s="37"/>
      <x:c r="J5" s="37"/>
      <x:c r="K5" s="37"/>
      <x:c r="L5" s="37"/>
      <x:c r="M5" s="45" t="str">
        <x:f>IF(COUNTA(C5:K5)=9,"Complete","Missing fields")</x:f>
        <x:v>Missing fields</x:v>
      </x:c>
    </x:row>
    <x:row r="6" ht="78" customHeight="1">
      <x:c r="A6" s="42" t="str">
        <x:v>SPEC-02</x:v>
      </x:c>
      <x:c r="B6" s="36" t="str">
        <x:v>Payment Device Firmware Update — Quick Chip Reconnection Fix</x:v>
      </x:c>
      <x:c r="C6" s="44"/>
      <x:c r="D6" s="38"/>
      <x:c r="E6" s="38"/>
      <x:c r="F6" s="38"/>
      <x:c r="G6" s="38"/>
      <x:c r="H6" s="38"/>
      <x:c r="I6" s="38"/>
      <x:c r="J6" s="38"/>
      <x:c r="K6" s="38"/>
      <x:c r="L6" s="38"/>
      <x:c r="M6" s="46" t="str">
        <x:f>IF(COUNTA(C6:K6)=9,"Complete","Missing fields")</x:f>
        <x:v>Missing fields</x:v>
      </x:c>
    </x:row>
    <x:row r="7" ht="78" customHeight="1">
      <x:c r="A7" s="42" t="str">
        <x:v>SPEC-03</x:v>
      </x:c>
      <x:c r="B7" s="36" t="str">
        <x:v>New Wi-Fi Access Point Hardware Rollout — Indoor Wi-Fi 7 Model</x:v>
      </x:c>
      <x:c r="C7" s="44"/>
      <x:c r="D7" s="38"/>
      <x:c r="E7" s="38"/>
      <x:c r="F7" s="38"/>
      <x:c r="G7" s="38"/>
      <x:c r="H7" s="38"/>
      <x:c r="I7" s="38"/>
      <x:c r="J7" s="38"/>
      <x:c r="K7" s="38"/>
      <x:c r="L7" s="38"/>
      <x:c r="M7" s="46" t="str">
        <x:f>IF(COUNTA(C7:K7)=9,"Complete","Missing fields")</x:f>
        <x:v>Missing fields</x:v>
      </x:c>
    </x:row>
    <x:row r="8" ht="78" customHeight="1">
      <x:c r="A8" s="42" t="str">
        <x:v>SPEC-04</x:v>
      </x:c>
      <x:c r="B8" s="36" t="str">
        <x:v>New Catering Voucher Tender Key Implementation on POS</x:v>
      </x:c>
      <x:c r="C8" s="44"/>
      <x:c r="D8" s="38"/>
      <x:c r="E8" s="38"/>
      <x:c r="F8" s="38"/>
      <x:c r="G8" s="38"/>
      <x:c r="H8" s="38"/>
      <x:c r="I8" s="38"/>
      <x:c r="J8" s="38"/>
      <x:c r="K8" s="38"/>
      <x:c r="L8" s="38"/>
      <x:c r="M8" s="46" t="str">
        <x:f>IF(COUNTA(C8:K8)=9,"Complete","Missing fields")</x:f>
        <x:v>Missing fields</x:v>
      </x:c>
    </x:row>
    <x:row r="9" ht="78" customHeight="1">
      <x:c r="A9" s="42" t="str">
        <x:v>SPEC-05</x:v>
      </x:c>
      <x:c r="B9" s="36" t="str">
        <x:v>New Extra-Large Beverage Size Addition to Menu</x:v>
      </x:c>
      <x:c r="C9" s="44"/>
      <x:c r="D9" s="38"/>
      <x:c r="E9" s="38"/>
      <x:c r="F9" s="38"/>
      <x:c r="G9" s="38"/>
      <x:c r="H9" s="38"/>
      <x:c r="I9" s="38"/>
      <x:c r="J9" s="38"/>
      <x:c r="K9" s="38"/>
      <x:c r="L9" s="38"/>
      <x:c r="M9" s="46" t="str">
        <x:f>IF(COUNTA(C9:K9)=9,"Complete","Missing fields")</x:f>
        <x:v>Missing fields</x:v>
      </x:c>
    </x:row>
    <x:row r="10" ht="78" customHeight="1">
      <x:c r="A10" s="42" t="str">
        <x:v>SPEC-06</x:v>
      </x:c>
      <x:c r="B10" s="36" t="str">
        <x:v>Menu Item Availability App — Time Window Configuration Enhancement</x:v>
      </x:c>
      <x:c r="C10" s="44"/>
      <x:c r="D10" s="38"/>
      <x:c r="E10" s="38"/>
      <x:c r="F10" s="38"/>
      <x:c r="G10" s="38"/>
      <x:c r="H10" s="38"/>
      <x:c r="I10" s="38"/>
      <x:c r="J10" s="38"/>
      <x:c r="K10" s="38"/>
      <x:c r="L10" s="38"/>
      <x:c r="M10" s="46" t="str">
        <x:f>IF(COUNTA(C10:K10)=9,"Complete","Missing fields")</x:f>
        <x:v>Missing fields</x:v>
      </x:c>
    </x:row>
    <x:row r="11" ht="78" customHeight="1">
      <x:c r="A11" s="42" t="str">
        <x:v>SPEC-08</x:v>
      </x:c>
      <x:c r="B11" s="36" t="str">
        <x:v>Role-Based Access Control — Restrict Void on Empty Check for Fraud Prevention</x:v>
      </x:c>
      <x:c r="C11" s="44"/>
      <x:c r="D11" s="38"/>
      <x:c r="E11" s="38"/>
      <x:c r="F11" s="38"/>
      <x:c r="G11" s="38"/>
      <x:c r="H11" s="38"/>
      <x:c r="I11" s="38"/>
      <x:c r="J11" s="38"/>
      <x:c r="K11" s="38"/>
      <x:c r="L11" s="38"/>
      <x:c r="M11" s="46" t="str">
        <x:f>IF(COUNTA(C11:K11)=9,"Complete","Missing fields")</x:f>
        <x:v>Missing fields</x:v>
      </x:c>
    </x:row>
    <x:row r="12" ht="78" customHeight="1">
      <x:c r="A12" s="42" t="str">
        <x:v>SPEC-09</x:v>
      </x:c>
      <x:c r="B12" s="36" t="str">
        <x:v>Delivery Markup Percentage Update for Third-Party Delivery Platform</x:v>
      </x:c>
      <x:c r="C12" s="44"/>
      <x:c r="D12" s="38"/>
      <x:c r="E12" s="38"/>
      <x:c r="F12" s="38"/>
      <x:c r="G12" s="38"/>
      <x:c r="H12" s="38"/>
      <x:c r="I12" s="38"/>
      <x:c r="J12" s="38"/>
      <x:c r="K12" s="38"/>
      <x:c r="L12" s="38"/>
      <x:c r="M12" s="46" t="str">
        <x:f>IF(COUNTA(C12:K12)=9,"Complete","Missing fields")</x:f>
        <x:v>Missing fields</x:v>
      </x:c>
    </x:row>
    <x:row r="13" ht="78" customHeight="1">
      <x:c r="A13" s="42" t="str">
        <x:v>SPEC-10</x:v>
      </x:c>
      <x:c r="B13" s="36" t="str">
        <x:v>SSL Certificate Renewal for Loyalty Platform Integration</x:v>
      </x:c>
      <x:c r="C13" s="44"/>
      <x:c r="D13" s="38"/>
      <x:c r="E13" s="38"/>
      <x:c r="F13" s="38"/>
      <x:c r="G13" s="38"/>
      <x:c r="H13" s="38"/>
      <x:c r="I13" s="38"/>
      <x:c r="J13" s="38"/>
      <x:c r="K13" s="38"/>
      <x:c r="L13" s="38"/>
      <x:c r="M13" s="46" t="str">
        <x:f>IF(COUNTA(C13:K13)=9,"Complete","Missing fields")</x:f>
        <x:v>Missing fields</x:v>
      </x:c>
    </x:row>
    <x:row r="14" ht="78" customHeight="1">
      <x:c r="A14" s="42" t="str">
        <x:v>SPEC-11</x:v>
      </x:c>
      <x:c r="B14" s="36" t="str">
        <x:v>Mobile App Advance Order — Price Lock Behavior When Item Prices Change Before Fulfillment</x:v>
      </x:c>
      <x:c r="C14" s="44"/>
      <x:c r="D14" s="38"/>
      <x:c r="E14" s="38"/>
      <x:c r="F14" s="38"/>
      <x:c r="G14" s="38"/>
      <x:c r="H14" s="38"/>
      <x:c r="I14" s="38"/>
      <x:c r="J14" s="38"/>
      <x:c r="K14" s="38"/>
      <x:c r="L14" s="38"/>
      <x:c r="M14" s="46" t="str">
        <x:f>IF(COUNTA(C14:K14)=9,"Complete","Missing fields")</x:f>
        <x:v>Missing fields</x:v>
      </x:c>
    </x:row>
    <x:row r="15" ht="78" customHeight="1">
      <x:c r="A15" s="42" t="str">
        <x:v>SPEC-12</x:v>
      </x:c>
      <x:c r="B15" s="36" t="str">
        <x:v>Financial Report Layout Change — Move Third-Party Delivery Detail Section to Bottom</x:v>
      </x:c>
      <x:c r="C15" s="44"/>
      <x:c r="D15" s="38"/>
      <x:c r="E15" s="38"/>
      <x:c r="F15" s="38"/>
      <x:c r="G15" s="38"/>
      <x:c r="H15" s="38"/>
      <x:c r="I15" s="38"/>
      <x:c r="J15" s="38"/>
      <x:c r="K15" s="38"/>
      <x:c r="L15" s="38"/>
      <x:c r="M15" s="46" t="str">
        <x:f>IF(COUNTA(C15:K15)=9,"Complete","Missing fields")</x:f>
        <x:v>Missing fields</x:v>
      </x:c>
    </x:row>
    <x:row r="16" ht="78" customHeight="1">
      <x:c r="A16" s="42" t="str">
        <x:v>SPEC-13</x:v>
      </x:c>
      <x:c r="B16" s="36" t="str">
        <x:v>POS Hierarchy Zone Addition for Full-Menu Non-Traditional Store Locations</x:v>
      </x:c>
      <x:c r="C16" s="44"/>
      <x:c r="D16" s="38"/>
      <x:c r="E16" s="38"/>
      <x:c r="F16" s="38"/>
      <x:c r="G16" s="38"/>
      <x:c r="H16" s="38"/>
      <x:c r="I16" s="38"/>
      <x:c r="J16" s="38"/>
      <x:c r="K16" s="38"/>
      <x:c r="L16" s="38"/>
      <x:c r="M16" s="46" t="str">
        <x:f>IF(COUNTA(C16:K16)=9,"Complete","Missing fields")</x:f>
        <x:v>Missing fields</x:v>
      </x:c>
    </x:row>
    <x:row r="17" ht="78" customHeight="1">
      <x:c r="A17" s="42" t="str">
        <x:v>SPEC-14</x:v>
      </x:c>
      <x:c r="B17" s="36" t="str">
        <x:v>Digital Ordering App Version Upgrade — Multi-Device and Multi-OS Compatibility Testing</x:v>
      </x:c>
      <x:c r="C17" s="44"/>
      <x:c r="D17" s="38"/>
      <x:c r="E17" s="38"/>
      <x:c r="F17" s="38"/>
      <x:c r="G17" s="38"/>
      <x:c r="H17" s="38"/>
      <x:c r="I17" s="38"/>
      <x:c r="J17" s="38"/>
      <x:c r="K17" s="38"/>
      <x:c r="L17" s="38"/>
      <x:c r="M17" s="46" t="str">
        <x:f>IF(COUNTA(C17:K17)=9,"Complete","Missing fields")</x:f>
        <x:v>Missing fields</x:v>
      </x:c>
    </x:row>
    <x:row r="18" ht="78" customHeight="1">
      <x:c r="A18" s="42" t="str">
        <x:v>SPEC-15</x:v>
      </x:c>
      <x:c r="B18" s="36" t="str">
        <x:v>Gift Card Transaction Cancel Messaging Fix — Validate Correct Terminal Display With Cloud Processing Disabled</x:v>
      </x:c>
      <x:c r="C18" s="44"/>
      <x:c r="D18" s="38"/>
      <x:c r="E18" s="38"/>
      <x:c r="F18" s="38"/>
      <x:c r="G18" s="38"/>
      <x:c r="H18" s="38"/>
      <x:c r="I18" s="38"/>
      <x:c r="J18" s="38"/>
      <x:c r="K18" s="38"/>
      <x:c r="L18" s="38"/>
      <x:c r="M18" s="46" t="str">
        <x:f>IF(COUNTA(C18:K18)=9,"Complete","Missing fields")</x:f>
        <x:v>Missing fields</x:v>
      </x:c>
    </x:row>
    <x:row r="19" ht="78" customHeight="1">
      <x:c r="A19" s="42" t="str">
        <x:v>SPEC-16</x:v>
      </x:c>
      <x:c r="B19" s="36" t="str">
        <x:v>Regression Testing for Existing Serialized Coupons After New Promotional BIN Ranges Added</x:v>
      </x:c>
      <x:c r="C19" s="44"/>
      <x:c r="D19" s="38"/>
      <x:c r="E19" s="38"/>
      <x:c r="F19" s="38"/>
      <x:c r="G19" s="38"/>
      <x:c r="H19" s="38"/>
      <x:c r="I19" s="38"/>
      <x:c r="J19" s="38"/>
      <x:c r="K19" s="38"/>
      <x:c r="L19" s="38"/>
      <x:c r="M19" s="46" t="str">
        <x:f>IF(COUNTA(C19:K19)=9,"Complete","Missing fields")</x:f>
        <x:v>Missing fields</x:v>
      </x:c>
    </x:row>
    <x:row r="20" ht="78" customHeight="1">
      <x:c r="A20" s="42" t="str">
        <x:v>SPEC-17</x:v>
      </x:c>
      <x:c r="B20" s="36" t="str">
        <x:v>Antivirus Exclusion Script Deployment for Remote Management Tool — POS Terminal Validation</x:v>
      </x:c>
      <x:c r="C20" s="44"/>
      <x:c r="D20" s="38"/>
      <x:c r="E20" s="38"/>
      <x:c r="F20" s="38"/>
      <x:c r="G20" s="38"/>
      <x:c r="H20" s="38"/>
      <x:c r="I20" s="38"/>
      <x:c r="J20" s="38"/>
      <x:c r="K20" s="38"/>
      <x:c r="L20" s="38"/>
      <x:c r="M20" s="46" t="str">
        <x:f>IF(COUNTA(C20:K20)=9,"Complete","Missing fields")</x:f>
        <x:v>Missing fields</x:v>
      </x:c>
    </x:row>
    <x:row r="21" ht="78" customHeight="1">
      <x:c r="A21" s="42" t="str">
        <x:v>SPEC-18</x:v>
      </x:c>
      <x:c r="B21" s="36" t="str">
        <x:v>POS Crew Notification Feature Enablement on POS Workstations</x:v>
      </x:c>
      <x:c r="C21" s="44"/>
      <x:c r="D21" s="38"/>
      <x:c r="E21" s="38"/>
      <x:c r="F21" s="38"/>
      <x:c r="G21" s="38"/>
      <x:c r="H21" s="38"/>
      <x:c r="I21" s="38"/>
      <x:c r="J21" s="38"/>
      <x:c r="K21" s="38"/>
      <x:c r="L21" s="38"/>
      <x:c r="M21" s="46" t="str">
        <x:f>IF(COUNTA(C21:K21)=9,"Complete","Missing fields")</x:f>
        <x:v>Missing fields</x:v>
      </x:c>
    </x:row>
    <x:row r="22" ht="78" customHeight="1">
      <x:c r="A22" s="42" t="str">
        <x:v>SPEC-19</x:v>
      </x:c>
      <x:c r="B22" s="36" t="str">
        <x:v>Secondary DNS Provider Change — Broad System Regression Across All Network-Dependent Functions</x:v>
      </x:c>
      <x:c r="C22" s="44"/>
      <x:c r="D22" s="38"/>
      <x:c r="E22" s="38"/>
      <x:c r="F22" s="38"/>
      <x:c r="G22" s="38"/>
      <x:c r="H22" s="38"/>
      <x:c r="I22" s="38"/>
      <x:c r="J22" s="38"/>
      <x:c r="K22" s="38"/>
      <x:c r="L22" s="38"/>
      <x:c r="M22" s="46" t="str">
        <x:f>IF(COUNTA(C22:K22)=9,"Complete","Missing fields")</x:f>
        <x:v>Missing fields</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