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b314affd8d4319" /></Relationships>
</file>

<file path=xl/workbook.xml><?xml version="1.0" encoding="utf-8"?>
<x:workbook xmlns:x="http://schemas.openxmlformats.org/spreadsheetml/2006/main">
  <x:sheets>
    <x:sheet xmlns:r="http://schemas.openxmlformats.org/officeDocument/2006/relationships" name="Read First" sheetId="1" r:id="R1590fd38529d4567"/>
    <x:sheet xmlns:r="http://schemas.openxmlformats.org/officeDocument/2006/relationships" name="Calibration" sheetId="2" r:id="Rb813561fdb774b7d"/>
    <x:sheet xmlns:r="http://schemas.openxmlformats.org/officeDocument/2006/relationships" name="Neutral Case" sheetId="3" r:id="R888447bb25d64509"/>
    <x:sheet xmlns:r="http://schemas.openxmlformats.org/officeDocument/2006/relationships" name="Rubric" sheetId="4" r:id="Ra2ce54b7625e461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ad825361a74097" /><Relationship Type="http://schemas.openxmlformats.org/officeDocument/2006/relationships/theme" Target="/xl/theme/theme1.xml" Id="R0c6ae55d247e4d1c" /><Relationship Type="http://schemas.openxmlformats.org/officeDocument/2006/relationships/sharedStrings" Target="/xl/sharedStrings.xml" Id="R9625f15c26684ba2" /><Relationship Type="http://schemas.openxmlformats.org/officeDocument/2006/relationships/worksheet" Target="/xl/worksheets/sheet1.xml" Id="R1590fd38529d4567" /><Relationship Type="http://schemas.openxmlformats.org/officeDocument/2006/relationships/worksheet" Target="/xl/worksheets/sheet2.xml" Id="Rb813561fdb774b7d" /><Relationship Type="http://schemas.openxmlformats.org/officeDocument/2006/relationships/worksheet" Target="/xl/worksheets/sheet3.xml" Id="R888447bb25d64509" /><Relationship Type="http://schemas.openxmlformats.org/officeDocument/2006/relationships/worksheet" Target="/xl/worksheets/sheet4.xml" Id="Ra2ce54b7625e46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PRACTITIONER-02</x:v>
      </x:c>
    </x:row>
    <x:row r="7">
      <x:c r="A7" s="3" t="str">
        <x:v>Calibration items</x:v>
      </x:c>
      <x:c r="B7" s="4" t="n">
        <x:v>25</x:v>
      </x:c>
    </x:row>
    <x:row r="8">
      <x:c r="A8" s="3" t="str">
        <x:v>Items complete</x:v>
      </x:c>
      <x:c r="B8" s="4" t="n">
        <x:f>COUNTIFS(Calibration!G5:G29,"Complete")</x:f>
        <x:v>0</x:v>
      </x:c>
    </x:row>
    <x:row r="9">
      <x:c r="A9" s="3" t="str">
        <x:v>Items remaining</x:v>
      </x:c>
      <x:c r="B9" s="4" t="n">
        <x:f>25-B8</x:f>
        <x:v>25</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NEUT-78AE84D2</x:v>
      </x:c>
      <x:c r="B5" s="27" t="str">
        <x:v>Integration Awareness</x:v>
      </x:c>
      <x:c r="C5" s="27" t="str">
        <x:v>Covers the normal scanner-to-storage path but omits scanner outage or failure propagation.</x:v>
      </x:c>
      <x:c r="D5" s="31"/>
      <x:c r="E5" s="29"/>
      <x:c r="F5" s="29"/>
      <x:c r="G5" s="27" t="str">
        <x:f>IF(COUNTA(D5:E5)=2,"Complete","Missing fields")</x:f>
        <x:v>Missing fields</x:v>
      </x:c>
    </x:row>
    <x:row r="6" ht="72" customHeight="1">
      <x:c r="A6" s="28" t="str">
        <x:v>NEUT-6D051013</x:v>
      </x:c>
      <x:c r="B6" s="28" t="str">
        <x:v>Risk Calibration</x:v>
      </x:c>
      <x:c r="C6" s="28" t="str">
        <x:v>Recommends HIGH because of malware and storage risk. The one-level increase is defensible, but broader regression is not clearly warranted.</x:v>
      </x:c>
      <x:c r="D6" s="32"/>
      <x:c r="E6" s="30"/>
      <x:c r="F6" s="30"/>
      <x:c r="G6" s="28" t="str">
        <x:f>IF(COUNTA(D6:E6)=2,"Complete","Missing fields")</x:f>
        <x:v>Missing fields</x:v>
      </x:c>
    </x:row>
    <x:row r="7" ht="72" customHeight="1">
      <x:c r="A7" s="28" t="str">
        <x:v>NEUT-F0B24B52</x:v>
      </x:c>
      <x:c r="B7" s="28" t="str">
        <x:v>Completeness</x:v>
      </x:c>
      <x:c r="C7" s="28" t="str">
        <x:v>Covers all critical paths but omits one minor regression check, such as a representative file well below 10 MB.</x:v>
      </x:c>
      <x:c r="D7" s="32"/>
      <x:c r="E7" s="30"/>
      <x:c r="F7" s="30"/>
      <x:c r="G7" s="28" t="str">
        <x:f>IF(COUNTA(D7:E7)=2,"Complete","Missing fields")</x:f>
        <x:v>Missing fields</x:v>
      </x:c>
    </x:row>
    <x:row r="8" ht="72" customHeight="1">
      <x:c r="A8" s="28" t="str">
        <x:v>NEUT-8BE6CB97</x:v>
      </x:c>
      <x:c r="B8" s="28" t="str">
        <x:v>Clarification Flag Quality</x:v>
      </x:c>
      <x:c r="C8" s="28" t="str">
        <x:v>Asks what happens when scanning fails but omits timeout/retry behavior and adds one low-value generic question.</x:v>
      </x:c>
      <x:c r="D8" s="32"/>
      <x:c r="E8" s="30"/>
      <x:c r="F8" s="30"/>
      <x:c r="G8" s="28" t="str">
        <x:f>IF(COUNTA(D8:E8)=2,"Complete","Missing fields")</x:f>
        <x:v>Missing fields</x:v>
      </x:c>
    </x:row>
    <x:row r="9" ht="72" customHeight="1">
      <x:c r="A9" s="28" t="str">
        <x:v>NEUT-B7B66914</x:v>
      </x:c>
      <x:c r="B9" s="28" t="str">
        <x:v>Completeness</x:v>
      </x:c>
      <x:c r="C9" s="28" t="str">
        <x:v>Covers both formats, all size boundaries, success/failure messages, scanner and storage paths, failure handling, regression below 10 MB, and both material clarification needs.</x:v>
      </x:c>
      <x:c r="D9" s="32"/>
      <x:c r="E9" s="30"/>
      <x:c r="F9" s="30"/>
      <x:c r="G9" s="28" t="str">
        <x:f>IF(COUNTA(D9:E9)=2,"Complete","Missing fields")</x:f>
        <x:v>Missing fields</x:v>
      </x:c>
    </x:row>
    <x:row r="10" ht="72" customHeight="1">
      <x:c r="A10" s="28" t="str">
        <x:v>NEUT-BE87554C</x:v>
      </x:c>
      <x:c r="B10" s="28" t="str">
        <x:v>Risk Calibration</x:v>
      </x:c>
      <x:c r="C10" s="28" t="str">
        <x:v>Recommends MEDIUM and explains that a bounded configuration change affects validation plus two downstream services and failure handling.</x:v>
      </x:c>
      <x:c r="D10" s="32"/>
      <x:c r="E10" s="30"/>
      <x:c r="F10" s="30"/>
      <x:c r="G10" s="28" t="str">
        <x:f>IF(COUNTA(D10:E10)=2,"Complete","Missing fields")</x:f>
        <x:v>Missing fields</x:v>
      </x:c>
    </x:row>
    <x:row r="11" ht="72" customHeight="1">
      <x:c r="A11" s="28" t="str">
        <x:v>NEUT-D125AD2F</x:v>
      </x:c>
      <x:c r="B11" s="28" t="str">
        <x:v>Integration Awareness</x:v>
      </x:c>
      <x:c r="C11" s="28" t="str">
        <x:v>Omits the scanner and storage path or invents an unrelated payment service as the primary integration.</x:v>
      </x:c>
      <x:c r="D11" s="32"/>
      <x:c r="E11" s="30"/>
      <x:c r="F11" s="30"/>
      <x:c r="G11" s="28" t="str">
        <x:f>IF(COUNTA(D11:E11)=2,"Complete","Missing fields")</x:f>
        <x:v>Missing fields</x:v>
      </x:c>
    </x:row>
    <x:row r="12" ht="72" customHeight="1">
      <x:c r="A12" s="28" t="str">
        <x:v>NEUT-8B5C7BDD</x:v>
      </x:c>
      <x:c r="B12" s="28" t="str">
        <x:v>Clarification Flag Quality</x:v>
      </x:c>
      <x:c r="C12" s="28" t="str">
        <x:v>Supplies no flags despite unresolved scanner failure behavior, or asks wholly irrelevant questions.</x:v>
      </x:c>
      <x:c r="D12" s="32"/>
      <x:c r="E12" s="30"/>
      <x:c r="F12" s="30"/>
      <x:c r="G12" s="28" t="str">
        <x:f>IF(COUNTA(D12:E12)=2,"Complete","Missing fields")</x:f>
        <x:v>Missing fields</x:v>
      </x:c>
    </x:row>
    <x:row r="13" ht="72" customHeight="1">
      <x:c r="A13" s="28" t="str">
        <x:v>NEUT-83E2C89C</x:v>
      </x:c>
      <x:c r="B13" s="28" t="str">
        <x:v>Specificity</x:v>
      </x:c>
      <x:c r="C13" s="28" t="str">
        <x:v>Upload 24.99 MB, 25.00 MB, and 25.01 MB PDF and DOCX files; verify the first two reach scanning and storage and the last is rejected with the documented size-limit message.</x:v>
      </x:c>
      <x:c r="D13" s="32"/>
      <x:c r="E13" s="30"/>
      <x:c r="F13" s="30"/>
      <x:c r="G13" s="28" t="str">
        <x:f>IF(COUNTA(D13:E13)=2,"Complete","Missing fields")</x:f>
        <x:v>Missing fields</x:v>
      </x:c>
    </x:row>
    <x:row r="14" ht="72" customHeight="1">
      <x:c r="A14" s="28" t="str">
        <x:v>NEUT-BF48EC9E</x:v>
      </x:c>
      <x:c r="B14" s="28" t="str">
        <x:v>Specificity</x:v>
      </x:c>
      <x:c r="C14" s="28" t="str">
        <x:v>Perform functional, regression, and integration testing.</x:v>
      </x:c>
      <x:c r="D14" s="32"/>
      <x:c r="E14" s="30"/>
      <x:c r="F14" s="30"/>
      <x:c r="G14" s="28" t="str">
        <x:f>IF(COUNTA(D14:E14)=2,"Complete","Missing fields")</x:f>
        <x:v>Missing fields</x:v>
      </x:c>
    </x:row>
    <x:row r="15" ht="72" customHeight="1">
      <x:c r="A15" s="28" t="str">
        <x:v>NEUT-1A264F04</x:v>
      </x:c>
      <x:c r="B15" s="28" t="str">
        <x:v>Integration Awareness</x:v>
      </x:c>
      <x:c r="C15" s="28" t="str">
        <x:v>Verify that the upload integrates with backend services, without testing either side of a concrete boundary.</x:v>
      </x:c>
      <x:c r="D15" s="32"/>
      <x:c r="E15" s="30"/>
      <x:c r="F15" s="30"/>
      <x:c r="G15" s="28" t="str">
        <x:f>IF(COUNTA(D15:E15)=2,"Complete","Missing fields")</x:f>
        <x:v>Missing fields</x:v>
      </x:c>
    </x:row>
    <x:row r="16" ht="72" customHeight="1">
      <x:c r="A16" s="28" t="str">
        <x:v>NEUT-7FE673E1</x:v>
      </x:c>
      <x:c r="B16" s="28" t="str">
        <x:v>Integration Awareness</x:v>
      </x:c>
      <x:c r="C16" s="28" t="str">
        <x:v>Tests portal-to-scanner handoff, scanner result return, portal-to-object-store persistence, failures at each boundary, and the user-visible final state.</x:v>
      </x:c>
      <x:c r="D16" s="32"/>
      <x:c r="E16" s="30"/>
      <x:c r="F16" s="30"/>
      <x:c r="G16" s="28" t="str">
        <x:f>IF(COUNTA(D16:E16)=2,"Complete","Missing fields")</x:f>
        <x:v>Missing fields</x:v>
      </x:c>
    </x:row>
    <x:row r="17" ht="72" customHeight="1">
      <x:c r="A17" s="28" t="str">
        <x:v>NEUT-06DCA0B1</x:v>
      </x:c>
      <x:c r="B17" s="28" t="str">
        <x:v>Specificity</x:v>
      </x:c>
      <x:c r="C17" s="28" t="str">
        <x:v>Test valid, invalid, and edge-case files and verify integrations.</x:v>
      </x:c>
      <x:c r="D17" s="32"/>
      <x:c r="E17" s="30"/>
      <x:c r="F17" s="30"/>
      <x:c r="G17" s="28" t="str">
        <x:f>IF(COUNTA(D17:E17)=2,"Complete","Missing fields")</x:f>
        <x:v>Missing fields</x:v>
      </x:c>
    </x:row>
    <x:row r="18" ht="72" customHeight="1">
      <x:c r="A18" s="28" t="str">
        <x:v>NEUT-D01BB7AE</x:v>
      </x:c>
      <x:c r="B18" s="28" t="str">
        <x:v>Clarification Flag Quality</x:v>
      </x:c>
      <x:c r="C18" s="28" t="str">
        <x:v>Asks who owns the feature and whether documentation exists while material ambiguity remains.</x:v>
      </x:c>
      <x:c r="D18" s="32"/>
      <x:c r="E18" s="30"/>
      <x:c r="F18" s="30"/>
      <x:c r="G18" s="28" t="str">
        <x:f>IF(COUNTA(D18:E18)=2,"Complete","Missing fields")</x:f>
        <x:v>Missing fields</x:v>
      </x:c>
    </x:row>
    <x:row r="19" ht="72" customHeight="1">
      <x:c r="A19" s="28" t="str">
        <x:v>NEUT-5FF01E1F</x:v>
      </x:c>
      <x:c r="B19" s="28" t="str">
        <x:v>Integration Awareness</x:v>
      </x:c>
      <x:c r="C19" s="28" t="str">
        <x:v>Covers scanner and object-store boundaries and user-visible results but omits one secondary timeout or retry consequence.</x:v>
      </x:c>
      <x:c r="D19" s="32"/>
      <x:c r="E19" s="30"/>
      <x:c r="F19" s="30"/>
      <x:c r="G19" s="28" t="str">
        <x:f>IF(COUNTA(D19:E19)=2,"Complete","Missing fields")</x:f>
        <x:v>Missing fields</x:v>
      </x:c>
    </x:row>
    <x:row r="20" ht="72" customHeight="1">
      <x:c r="A20" s="28" t="str">
        <x:v>NEUT-8A55868D</x:v>
      </x:c>
      <x:c r="B20" s="28" t="str">
        <x:v>Completeness</x:v>
      </x:c>
      <x:c r="C20" s="28" t="str">
        <x:v>Says only to test document upload thoroughly, without identifying the changed limit or the core success and rejection behaviors.</x:v>
      </x:c>
      <x:c r="D20" s="32"/>
      <x:c r="E20" s="30"/>
      <x:c r="F20" s="30"/>
      <x:c r="G20" s="28" t="str">
        <x:f>IF(COUNTA(D20:E20)=2,"Complete","Missing fields")</x:f>
        <x:v>Missing fields</x:v>
      </x:c>
    </x:row>
    <x:row r="21" ht="72" customHeight="1">
      <x:c r="A21" s="28" t="str">
        <x:v>NEUT-08488A5F</x:v>
      </x:c>
      <x:c r="B21" s="28" t="str">
        <x:v>Clarification Flag Quality</x:v>
      </x:c>
      <x:c r="C21" s="28" t="str">
        <x:v>Asks both material questions, but one is worded broadly and needs a small follow-up.</x:v>
      </x:c>
      <x:c r="D21" s="32"/>
      <x:c r="E21" s="30"/>
      <x:c r="F21" s="30"/>
      <x:c r="G21" s="28" t="str">
        <x:f>IF(COUNTA(D21:E21)=2,"Complete","Missing fields")</x:f>
        <x:v>Missing fields</x:v>
      </x:c>
    </x:row>
    <x:row r="22" ht="72" customHeight="1">
      <x:c r="A22" s="28" t="str">
        <x:v>NEUT-71333023</x:v>
      </x:c>
      <x:c r="B22" s="28" t="str">
        <x:v>Risk Calibration</x:v>
      </x:c>
      <x:c r="C22" s="28" t="str">
        <x:v>Recommends LOW because only one number changed, ignoring the scanner and storage path.</x:v>
      </x:c>
      <x:c r="D22" s="32"/>
      <x:c r="E22" s="30"/>
      <x:c r="F22" s="30"/>
      <x:c r="G22" s="28" t="str">
        <x:f>IF(COUNTA(D22:E22)=2,"Complete","Missing fields")</x:f>
        <x:v>Missing fields</x:v>
      </x:c>
    </x:row>
    <x:row r="23" ht="72" customHeight="1">
      <x:c r="A23" s="28" t="str">
        <x:v>NEUT-1C41FCDE</x:v>
      </x:c>
      <x:c r="B23" s="28" t="str">
        <x:v>Specificity</x:v>
      </x:c>
      <x:c r="C23" s="28" t="str">
        <x:v>Test just below, at, and above 25 MB for both formats and verify correct behavior.</x:v>
      </x:c>
      <x:c r="D23" s="32"/>
      <x:c r="E23" s="30"/>
      <x:c r="F23" s="30"/>
      <x:c r="G23" s="28" t="str">
        <x:f>IF(COUNTA(D23:E23)=2,"Complete","Missing fields")</x:f>
        <x:v>Missing fields</x:v>
      </x:c>
    </x:row>
    <x:row r="24" ht="72" customHeight="1">
      <x:c r="A24" s="28" t="str">
        <x:v>NEUT-81E68B60</x:v>
      </x:c>
      <x:c r="B24" s="28" t="str">
        <x:v>Risk Calibration</x:v>
      </x:c>
      <x:c r="C24" s="28" t="str">
        <x:v>Recommends no depth or an invalid value, or treats the change as requiring no testing despite its downstream path.</x:v>
      </x:c>
      <x:c r="D24" s="32"/>
      <x:c r="E24" s="30"/>
      <x:c r="F24" s="30"/>
      <x:c r="G24" s="28" t="str">
        <x:f>IF(COUNTA(D24:E24)=2,"Complete","Missing fields")</x:f>
        <x:v>Missing fields</x:v>
      </x:c>
    </x:row>
    <x:row r="25" ht="72" customHeight="1">
      <x:c r="A25" s="28" t="str">
        <x:v>NEUT-52917430</x:v>
      </x:c>
      <x:c r="B25" s="28" t="str">
        <x:v>Risk Calibration</x:v>
      </x:c>
      <x:c r="C25" s="28" t="str">
        <x:v>Recommends MEDIUM with a sound but generic explanation that the change affects upload validation and connected services.</x:v>
      </x:c>
      <x:c r="D25" s="32"/>
      <x:c r="E25" s="30"/>
      <x:c r="F25" s="30"/>
      <x:c r="G25" s="28" t="str">
        <x:f>IF(COUNTA(D25:E25)=2,"Complete","Missing fields")</x:f>
        <x:v>Missing fields</x:v>
      </x:c>
    </x:row>
    <x:row r="26" ht="72" customHeight="1">
      <x:c r="A26" s="28" t="str">
        <x:v>NEUT-564D8782</x:v>
      </x:c>
      <x:c r="B26" s="28" t="str">
        <x:v>Completeness</x:v>
      </x:c>
      <x:c r="C26" s="28" t="str">
        <x:v>Tests only successful 25 MB PDF upload and a file above 25 MB. Critical DOCX and antivirus/storage behavior are absent.</x:v>
      </x:c>
      <x:c r="D26" s="32"/>
      <x:c r="E26" s="30"/>
      <x:c r="F26" s="30"/>
      <x:c r="G26" s="28" t="str">
        <x:f>IF(COUNTA(D26:E26)=2,"Complete","Missing fields")</x:f>
        <x:v>Missing fields</x:v>
      </x:c>
    </x:row>
    <x:row r="27" ht="72" customHeight="1">
      <x:c r="A27" s="28" t="str">
        <x:v>NEUT-73892CED</x:v>
      </x:c>
      <x:c r="B27" s="28" t="str">
        <x:v>Completeness</x:v>
      </x:c>
      <x:c r="C27" s="28" t="str">
        <x:v>Covers valid uploads and the 25 MB boundary but omits scanner-unavailable behavior and one secondary regression area. The core is usable with supplementation.</x:v>
      </x:c>
      <x:c r="D27" s="32"/>
      <x:c r="E27" s="30"/>
      <x:c r="F27" s="30"/>
      <x:c r="G27" s="28" t="str">
        <x:f>IF(COUNTA(D27:E27)=2,"Complete","Missing fields")</x:f>
        <x:v>Missing fields</x:v>
      </x:c>
    </x:row>
    <x:row r="28" ht="72" customHeight="1">
      <x:c r="A28" s="28" t="str">
        <x:v>NEUT-9030CD8F</x:v>
      </x:c>
      <x:c r="B28" s="28" t="str">
        <x:v>Specificity</x:v>
      </x:c>
      <x:c r="C28" s="28" t="str">
        <x:v>Test exact boundary values for both formats and verify accept/reject results, but do not specify how storage success will be observed.</x:v>
      </x:c>
      <x:c r="D28" s="32"/>
      <x:c r="E28" s="30"/>
      <x:c r="F28" s="30"/>
      <x:c r="G28" s="28" t="str">
        <x:f>IF(COUNTA(D28:E28)=2,"Complete","Missing fields")</x:f>
        <x:v>Missing fields</x:v>
      </x:c>
    </x:row>
    <x:row r="29" ht="72" customHeight="1">
      <x:c r="A29" s="28" t="str">
        <x:v>NEUT-FE456814</x:v>
      </x:c>
      <x:c r="B29" s="28" t="str">
        <x:v>Clarification Flag Quality</x:v>
      </x:c>
      <x:c r="C29" s="28" t="str">
        <x:v>Asks for the exact timeout/retry behavior and the required user/system outcome when antivirus scanning is unavailable.</x:v>
      </x:c>
      <x:c r="D29" s="32"/>
      <x:c r="E29" s="30"/>
      <x:c r="F29" s="30"/>
      <x:c r="G29" s="28" t="str">
        <x:f>IF(COUNTA(D29:E29)=2,"Complete","Missing fields")</x:f>
        <x:v>Missing fields</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