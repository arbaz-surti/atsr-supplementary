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4d448057964aca" /></Relationships>
</file>

<file path=xl/workbook.xml><?xml version="1.0" encoding="utf-8"?>
<x:workbook xmlns:x="http://schemas.openxmlformats.org/spreadsheetml/2006/main">
  <x:sheets>
    <x:sheet xmlns:r="http://schemas.openxmlformats.org/officeDocument/2006/relationships" name="Read First" sheetId="1" r:id="R86f1ebc317b74e8d"/>
    <x:sheet xmlns:r="http://schemas.openxmlformats.org/officeDocument/2006/relationships" name="Ground Truth" sheetId="2" r:id="R56fe20fec38b46e7"/>
    <x:sheet xmlns:r="http://schemas.openxmlformats.org/officeDocument/2006/relationships" name="Specifications" sheetId="3" r:id="R6b21e30943b74db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sz val="11"/>
      <x:name val="Arial"/>
    </x:font>
    <x:font>
      <x:i/>
      <x:sz val="10"/>
      <x:color rgb="FF595959"/>
      <x:name val="Arial"/>
    </x:font>
    <x:font>
      <x:b/>
      <x:sz val="10"/>
      <x:color rgb="FFFFFFFF"/>
      <x:name val="Arial"/>
    </x:font>
  </x:fonts>
  <x:fills count="7">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0"/>
    </x:xf>
    <x:xf numFmtId="0" fontId="0" fillId="4" borderId="0" xfId="0" applyNumberFormat="1" applyFont="1" applyFill="1" applyBorder="1"/>
    <x:xf numFmtId="0" fontId="8" fillId="4" borderId="0"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8" fillId="4" borderId="4" xfId="0" applyNumberFormat="1" applyFont="1" applyFill="1" applyBorder="1"/>
    <x:xf numFmtId="0" fontId="8" fillId="4" borderId="2" xfId="0" applyNumberFormat="1" applyFont="1" applyFill="1" applyBorder="1" applyAlignment="1">
      <x:alignment wrapText="1"/>
    </x:xf>
    <x:xf numFmtId="0" fontId="8" fillId="4" borderId="3" xfId="0" applyNumberFormat="1" applyFont="1" applyFill="1" applyBorder="1" applyAlignment="1">
      <x:alignment wrapText="1"/>
    </x:xf>
    <x:xf numFmtId="0" fontId="8" fillId="4" borderId="4" xfId="0" applyNumberFormat="1" applyFont="1" applyFill="1" applyBorder="1" applyAlignment="1">
      <x:alignment wrapText="1"/>
    </x:xf>
    <x:xf numFmtId="0" fontId="8" fillId="4" borderId="2" xfId="0" applyNumberFormat="1" applyFont="1" applyFill="1" applyBorder="1" applyAlignment="1">
      <x:alignment horizontal="center" wrapText="1"/>
    </x:xf>
    <x:xf numFmtId="0" fontId="8" fillId="4" borderId="3" xfId="0" applyNumberFormat="1" applyFont="1" applyFill="1" applyBorder="1" applyAlignment="1">
      <x:alignment horizontal="center" wrapText="1"/>
    </x:xf>
    <x:xf numFmtId="0" fontId="8" fillId="4" borderId="4" xfId="0" applyNumberFormat="1" applyFont="1" applyFill="1" applyBorder="1" applyAlignment="1">
      <x:alignment horizontal="center"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5" borderId="5" xfId="0" applyNumberFormat="1" applyFont="1" applyFill="1" applyBorder="1" applyAlignment="1">
      <x:alignment horizontal="center" vertical="top" wrapText="1"/>
    </x:xf>
    <x:xf numFmtId="0" fontId="3" fillId="5" borderId="6" xfId="0" applyNumberFormat="1" applyFont="1" applyFill="1" applyBorder="1" applyAlignment="1">
      <x:alignment horizontal="center"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3" fillId="6" borderId="5" xfId="0" applyNumberFormat="1" applyFont="1" applyFill="1" applyBorder="1" applyAlignment="1">
      <x:alignment horizontal="center" vertical="top" wrapText="1"/>
    </x:xf>
    <x:xf numFmtId="0" fontId="3" fillId="6" borderId="6"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69b965710043ed" /><Relationship Type="http://schemas.openxmlformats.org/officeDocument/2006/relationships/theme" Target="/xl/theme/theme1.xml" Id="Raf719d1f256f4211" /><Relationship Type="http://schemas.openxmlformats.org/officeDocument/2006/relationships/sharedStrings" Target="/xl/sharedStrings.xml" Id="Rf5e91f8ce8b84bf9" /><Relationship Type="http://schemas.openxmlformats.org/officeDocument/2006/relationships/worksheet" Target="/xl/worksheets/sheet1.xml" Id="R86f1ebc317b74e8d" /><Relationship Type="http://schemas.openxmlformats.org/officeDocument/2006/relationships/worksheet" Target="/xl/worksheets/sheet2.xml" Id="R56fe20fec38b46e7" /><Relationship Type="http://schemas.openxmlformats.org/officeDocument/2006/relationships/worksheet" Target="/xl/worksheets/sheet3.xml" Id="R6b21e30943b74d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3"/>
      <x:c r="B1" s="13"/>
      <x:c r="C1" s="13"/>
      <x:c r="D1" s="13"/>
      <x:c r="E1" s="13"/>
      <x:c r="F1" s="13"/>
      <x:c r="G1" s="13"/>
      <x:c r="H1" s="13"/>
    </x:row>
    <x:row r="2">
      <x:c r="A2" s="1" t="str">
        <x:v>B3 independent ground-truth worksheet</x:v>
      </x:c>
      <x:c r="B2" s="1"/>
      <x:c r="C2" s="1"/>
      <x:c r="D2" s="1"/>
      <x:c r="E2" s="1"/>
      <x:c r="F2" s="1"/>
      <x:c r="G2" s="1"/>
      <x:c r="H2" s="1"/>
    </x:row>
    <x:row r="3">
      <x:c r="A3" s="14"/>
      <x:c r="B3" s="14"/>
      <x:c r="C3" s="14"/>
      <x:c r="D3" s="14"/>
      <x:c r="E3" s="14"/>
      <x:c r="F3" s="14"/>
      <x:c r="G3" s="14"/>
      <x:c r="H3" s="14"/>
    </x:row>
    <x:row r="4">
      <x:c r="A4" s="13"/>
      <x:c r="B4" s="13"/>
      <x:c r="C4" s="13"/>
      <x:c r="D4" s="13"/>
      <x:c r="E4" s="13"/>
      <x:c r="F4" s="13"/>
      <x:c r="G4" s="13"/>
      <x:c r="H4" s="13"/>
    </x:row>
    <x:row r="5">
      <x:c r="A5" s="3" t="str">
        <x:v>Protocol</x:v>
      </x:c>
      <x:c r="B5" s="4" t="str">
        <x:v>ATSR-SREP-R2-v1.0</x:v>
      </x:c>
      <x:c r="C5" s="13"/>
      <x:c r="D5" s="13"/>
      <x:c r="E5" s="13"/>
      <x:c r="F5" s="13"/>
      <x:c r="G5" s="13"/>
      <x:c r="H5" s="13"/>
    </x:row>
    <x:row r="6">
      <x:c r="A6" s="3" t="str">
        <x:v>Rater ID</x:v>
      </x:c>
      <x:c r="B6" s="4" t="str">
        <x:v>PRACTITIONER-01</x:v>
      </x:c>
      <x:c r="C6" s="13"/>
      <x:c r="D6" s="13"/>
      <x:c r="E6" s="13"/>
      <x:c r="F6" s="13"/>
      <x:c r="G6" s="13"/>
      <x:c r="H6" s="13"/>
    </x:row>
    <x:row r="7">
      <x:c r="A7" s="3" t="str">
        <x:v>Specifications</x:v>
      </x:c>
      <x:c r="B7" s="4" t="n">
        <x:v>18</x:v>
      </x:c>
      <x:c r="C7" s="13"/>
      <x:c r="D7" s="13"/>
      <x:c r="E7" s="13"/>
      <x:c r="F7" s="13"/>
      <x:c r="G7" s="13"/>
      <x:c r="H7" s="13"/>
    </x:row>
    <x:row r="8">
      <x:c r="A8" s="3" t="str">
        <x:v>Rows complete</x:v>
      </x:c>
      <x:c r="B8" s="5" t="n">
        <x:f>COUNTIFS('Ground Truth'!M5:M22,"Complete")</x:f>
        <x:v>18</x:v>
      </x:c>
      <x:c r="C8" s="13"/>
      <x:c r="D8" s="13"/>
      <x:c r="E8" s="13"/>
      <x:c r="F8" s="13"/>
      <x:c r="G8" s="13"/>
      <x:c r="H8" s="13"/>
    </x:row>
    <x:row r="9">
      <x:c r="A9" s="3" t="str">
        <x:v>Rows remaining</x:v>
      </x:c>
      <x:c r="B9" s="5" t="n">
        <x:f>18-B8</x:f>
        <x:v>0</x:v>
      </x:c>
      <x:c r="C9" s="13"/>
      <x:c r="D9" s="13"/>
      <x:c r="E9" s="13"/>
      <x:c r="F9" s="13"/>
      <x:c r="G9" s="13"/>
      <x:c r="H9" s="13"/>
    </x:row>
    <x:row r="10">
      <x:c r="A10" s="3" t="str">
        <x:v>Dataset SHA-256</x:v>
      </x:c>
      <x:c r="B10" s="4" t="str">
        <x:v>48d94cce163cf21efa712939bd4334b0a89260434aafe0d83a00cbd2dd3856f0</x:v>
      </x:c>
      <x:c r="C10" s="13"/>
      <x:c r="D10" s="13"/>
      <x:c r="E10" s="13"/>
      <x:c r="F10" s="13"/>
      <x:c r="G10" s="13"/>
      <x:c r="H10" s="13"/>
    </x:row>
    <x:row r="11">
      <x:c r="A11" s="13"/>
      <x:c r="B11" s="13"/>
      <x:c r="C11" s="13"/>
      <x:c r="D11" s="13"/>
      <x:c r="E11" s="13"/>
      <x:c r="F11" s="13"/>
      <x:c r="G11" s="13"/>
      <x:c r="H11" s="13"/>
    </x:row>
    <x:row r="12">
      <x:c r="A12" s="8" t="str">
        <x:v>Instructions</x:v>
      </x:c>
      <x:c r="B12" s="8"/>
      <x:c r="C12" s="8"/>
      <x:c r="D12" s="8"/>
      <x:c r="E12" s="8"/>
      <x:c r="F12" s="8"/>
      <x:c r="G12" s="8"/>
      <x:c r="H12" s="8"/>
    </x:row>
    <x:row r="13" ht="52" customHeight="1">
      <x:c r="A13" s="9" t="str">
        <x:v>1. Work independently and review all 18 specifications before discussing judgments.</x:v>
      </x:c>
      <x:c r="B13" s="9"/>
      <x:c r="C13" s="9"/>
      <x:c r="D13" s="9"/>
      <x:c r="E13" s="9"/>
      <x:c r="F13" s="9"/>
      <x:c r="G13" s="9"/>
      <x:c r="H13" s="9"/>
    </x:row>
    <x:row r="14" ht="52" customHeight="1">
      <x:c r="A14" s="9" t="str">
        <x:v>2. Do not view AI outputs, historical scores, historical author ground truth, or another rater's worksheet.</x:v>
      </x:c>
      <x:c r="B14" s="9"/>
      <x:c r="C14" s="9"/>
      <x:c r="D14" s="9"/>
      <x:c r="E14" s="9"/>
      <x:c r="F14" s="9"/>
      <x:c r="G14" s="9"/>
      <x:c r="H14" s="9"/>
    </x:row>
    <x:row r="15" ht="52" customHeight="1">
      <x:c r="A15" s="9" t="str">
        <x:v>3. Enter one LOW, MEDIUM, or HIGH depth judgment and a short rationale for each specification.</x:v>
      </x:c>
      <x:c r="B15" s="9"/>
      <x:c r="C15" s="9"/>
      <x:c r="D15" s="9"/>
      <x:c r="E15" s="9"/>
      <x:c r="F15" s="9"/>
      <x:c r="G15" s="9"/>
      <x:c r="H15" s="9"/>
    </x:row>
    <x:row r="16" ht="52" customHeight="1">
      <x:c r="A16" s="9" t="str">
        <x:v>4. Enter semicolon-separated essential elements for functional, smoke, regression, integration, exploratory, and clarification scope.</x:v>
      </x:c>
      <x:c r="B16" s="9"/>
      <x:c r="C16" s="9"/>
      <x:c r="D16" s="9"/>
      <x:c r="E16" s="9"/>
      <x:c r="F16" s="9"/>
      <x:c r="G16" s="9"/>
      <x:c r="H16" s="9"/>
    </x:row>
    <x:row r="17" ht="52" customHeight="1">
      <x:c r="A17" s="9" t="str">
        <x:v>5. Use NONE when a category is genuinely irrelevant. Do not leave required fields blank.</x:v>
      </x:c>
      <x:c r="B17" s="9"/>
      <x:c r="C17" s="9"/>
      <x:c r="D17" s="9"/>
      <x:c r="E17" s="9"/>
      <x:c r="F17" s="9"/>
      <x:c r="G17" s="9"/>
      <x:c r="H17" s="9"/>
    </x:row>
    <x:row r="18" ht="52" customHeight="1">
      <x:c r="A18" s="9" t="str">
        <x:v>6. If an essential element depends on professional knowledge not explicit in the specification, record the inferential link under Implicit domain knowledge.</x:v>
      </x:c>
      <x:c r="B18" s="9"/>
      <x:c r="C18" s="9"/>
      <x:c r="D18" s="9"/>
      <x:c r="E18" s="9"/>
      <x:c r="F18" s="9"/>
      <x:c r="G18" s="9"/>
      <x:c r="H18" s="9"/>
    </x:row>
    <x:row r="19" ht="52" customHeight="1">
      <x:c r="A19" s="9" t="str">
        <x:v>7. Use Notes for assumptions or uncertainty. The Status column calculates automatically.</x:v>
      </x:c>
      <x:c r="B19" s="9"/>
      <x:c r="C19" s="9"/>
      <x:c r="D19" s="9"/>
      <x:c r="E19" s="9"/>
      <x:c r="F19" s="9"/>
      <x:c r="G19" s="9"/>
      <x:c r="H19" s="9"/>
    </x:row>
    <x:row r="20" ht="52" customHeight="1">
      <x:c r="A20" s="9" t="str">
        <x:v>8. Return the completed workbook to the researcher without renaming worksheets or changing Spec IDs.</x:v>
      </x:c>
      <x:c r="B20" s="9"/>
      <x:c r="C20" s="9"/>
      <x:c r="D20" s="9"/>
      <x:c r="E20" s="9"/>
      <x:c r="F20" s="9"/>
      <x:c r="G20" s="9"/>
      <x:c r="H20" s="9"/>
    </x:row>
    <x:row r="21">
      <x:c r="A21" s="13"/>
      <x:c r="B21" s="13"/>
      <x:c r="C21" s="13"/>
      <x:c r="D21" s="13"/>
      <x:c r="E21" s="13"/>
      <x:c r="F21" s="13"/>
      <x:c r="G21" s="13"/>
      <x:c r="H21" s="13"/>
    </x:row>
    <x:row r="22" ht="34" customHeight="1">
      <x:c r="A22" s="12" t="str">
        <x:v>Stop after completing this workbook. Model-output rating begins only after consensus and rubric freeze.</x:v>
      </x:c>
      <x:c r="B22" s="12"/>
      <x:c r="C22" s="12"/>
      <x:c r="D22" s="12"/>
      <x:c r="E22" s="12"/>
      <x:c r="F22" s="12"/>
      <x:c r="G22" s="12"/>
      <x:c r="H22" s="12"/>
    </x:row>
    <x:row r="23">
      <x:c r="A23" s="13"/>
      <x:c r="B23" s="13"/>
      <x:c r="C23" s="13"/>
      <x:c r="D23" s="13"/>
      <x:c r="E23" s="13"/>
      <x:c r="F23" s="13"/>
      <x:c r="G23" s="13"/>
      <x:c r="H23" s="13"/>
    </x:row>
    <x:row r="24">
      <x:c r="A24" s="13"/>
      <x:c r="B24" s="13"/>
      <x:c r="C24" s="13"/>
      <x:c r="D24" s="13"/>
      <x:c r="E24" s="13"/>
      <x:c r="F24" s="13"/>
      <x:c r="G24" s="13"/>
      <x:c r="H24" s="13"/>
    </x:row>
    <x:row r="25">
      <x:c r="A25" s="13"/>
      <x:c r="B25" s="13"/>
      <x:c r="C25" s="13"/>
      <x:c r="D25" s="13"/>
      <x:c r="E25" s="13"/>
      <x:c r="F25" s="13"/>
      <x:c r="G25" s="13"/>
      <x:c r="H25" s="13"/>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0" hidden="0" customWidth="1"/>
    <x:col min="6" max="6" width="34" hidden="0" customWidth="1"/>
    <x:col min="7" max="7" width="34" hidden="0" customWidth="1"/>
    <x:col min="8" max="8" width="32" hidden="0" customWidth="1"/>
    <x:col min="9" max="9" width="34" hidden="0" customWidth="1"/>
    <x:col min="10" max="10" width="32" hidden="0" customWidth="1"/>
    <x:col min="11" max="11" width="34" hidden="0" customWidth="1"/>
    <x:col min="12" max="12" width="30" hidden="0" customWidth="1"/>
    <x:col min="13" max="13" width="16" hidden="0" customWidth="1"/>
  </x:cols>
  <x:sheetData>
    <x:row r="2">
      <x:c r="A2" s="1" t="str">
        <x:v>Independent judgments for 18 specifications</x:v>
      </x:c>
      <x:c r="B2" s="1"/>
      <x:c r="C2" s="1"/>
      <x:c r="D2" s="1"/>
      <x:c r="E2" s="1"/>
      <x:c r="F2" s="1"/>
      <x:c r="G2" s="1"/>
      <x:c r="H2" s="1"/>
      <x:c r="I2" s="1"/>
      <x:c r="J2" s="1"/>
      <x:c r="K2" s="1"/>
      <x:c r="L2" s="1"/>
      <x:c r="M2" s="1"/>
    </x:row>
    <x:row r="3">
      <x:c r="A3" s="16"/>
      <x:c r="B3" s="16"/>
      <x:c r="C3" s="16" t="str">
        <x:v>Yellow cells require participant input. Use semicolons between atomic elements; enter NONE when a category is irrelevant.</x:v>
      </x:c>
      <x:c r="D3" s="16"/>
      <x:c r="E3" s="16"/>
      <x:c r="F3" s="16"/>
      <x:c r="G3" s="16"/>
      <x:c r="H3" s="16"/>
      <x:c r="I3" s="16"/>
      <x:c r="J3" s="16"/>
      <x:c r="K3" s="16"/>
      <x:c r="L3" s="16"/>
      <x:c r="M3" s="16"/>
    </x:row>
    <x:row r="4" ht="45" customHeight="1">
      <x:c r="A4" s="28" t="str">
        <x:v>Spec ID</x:v>
      </x:c>
      <x:c r="B4" s="29" t="str">
        <x:v>Title</x:v>
      </x:c>
      <x:c r="C4" s="29" t="str">
        <x:v>Coverage depth</x:v>
      </x:c>
      <x:c r="D4" s="29" t="str">
        <x:v>Essential functional scope</x:v>
      </x:c>
      <x:c r="E4" s="29" t="str">
        <x:v>Essential smoke scope</x:v>
      </x:c>
      <x:c r="F4" s="29" t="str">
        <x:v>Essential regression scope</x:v>
      </x:c>
      <x:c r="G4" s="29" t="str">
        <x:v>Essential integration scope</x:v>
      </x:c>
      <x:c r="H4" s="29" t="str">
        <x:v>Essential exploratory scope</x:v>
      </x:c>
      <x:c r="I4" s="29" t="str">
        <x:v>Essential clarification needs</x:v>
      </x:c>
      <x:c r="J4" s="29" t="str">
        <x:v>Depth rationale</x:v>
      </x:c>
      <x:c r="K4" s="29" t="str">
        <x:v>Implicit domain knowledge</x:v>
      </x:c>
      <x:c r="L4" s="29" t="str">
        <x:v>Notes or assumptions</x:v>
      </x:c>
      <x:c r="M4" s="30" t="str">
        <x:v>Status</x:v>
      </x:c>
    </x:row>
    <x:row r="5" ht="78" customHeight="1">
      <x:c r="A5" s="41" t="str">
        <x:v>SPEC-01</x:v>
      </x:c>
      <x:c r="B5" s="35" t="str">
        <x:v>Online Ordering Portal Still Shows Menu Item as Available After Overnight Menu Sync</x:v>
      </x:c>
      <x:c r="C5" s="43" t="str">
        <x:v>HIGH</x:v>
      </x:c>
      <x:c r="D5" s="37" t="str">
        <x:v>Mark item OOS on POS; verify POS reflects OOS; verify web ordering blocks item; verify mobile ordering blocks item; restore item; verify digital ordering allows item again</x:v>
      </x:c>
      <x:c r="E5" s="37" t="str">
        <x:v>OOS can be set; digital menu reflects status; restored item can be ordered</x:v>
      </x:c>
      <x:c r="F5" s="37" t="str">
        <x:v>Other menu items remain orderable; pricing/modifiers unaffected; normal menu synchronization continues</x:v>
      </x:c>
      <x:c r="G5" s="37" t="str">
        <x:v>POS/menu-management to web/mobile menu availability</x:v>
      </x:c>
      <x:c r="H5" s="37" t="str">
        <x:v>Toggle item several times; item already in cart; delayed synchronization; POS restart after OOS change</x:v>
      </x:c>
      <x:c r="I5" s="37" t="str">
        <x:v>Expected synchronization time; expected cart behavior; whether manual refresh/sync exists</x:v>
      </x:c>
      <x:c r="J5" s="37" t="str">
        <x:v>Customer can still place invalid orders if synchronization fails, so this needs broad coverage</x:v>
      </x:c>
      <x:c r="K5" s="37" t="str">
        <x:v>Restaurant digital channels depend on store/menu availability feeds and may cache information</x:v>
      </x:c>
      <x:c r="L5" s="37" t="str">
        <x:v>Assume same OOS source eventually feeds both web and mobile</x:v>
      </x:c>
      <x:c r="M5" s="45" t="str">
        <x:f>IF(COUNTA(C5:K5)=9,"Complete","Missing fields")</x:f>
        <x:v>Complete</x:v>
      </x:c>
    </x:row>
    <x:row r="6" ht="78" customHeight="1">
      <x:c r="A6" s="42" t="str">
        <x:v>SPEC-02</x:v>
      </x:c>
      <x:c r="B6" s="36" t="str">
        <x:v>Payment Device Firmware Update — Quick Chip Reconnection Fix</x:v>
      </x:c>
      <x:c r="C6" s="44" t="str">
        <x:v>HIGH</x:v>
      </x:c>
      <x:c r="D6" s="38" t="str">
        <x:v>Update firmware; verify payment on POS 18/19 with terminal A/B/C; disconnect network during transaction; reconnect; verify terminal becomes usable; run another payment</x:v>
      </x:c>
      <x:c r="E6" s="38" t="str">
        <x:v>Terminal loads firmware; connects to POS; basic card payment succeeds</x:v>
      </x:c>
      <x:c r="F6" s="38" t="str">
        <x:v>Standard sale; cancel; decline; subsequent transaction; terminal remains usable after recovery</x:v>
      </x:c>
      <x:c r="G6" s="38" t="str">
        <x:v>POS to payment device and payment network</x:v>
      </x:c>
      <x:c r="H6" s="38" t="str">
        <x:v>Pull network at authorization, card-read, completion; repeated outages; terminal reboot</x:v>
      </x:c>
      <x:c r="I6" s="38" t="str">
        <x:v>Recovery SLA; supported tender/card types; interrupted transaction status; reversal expectations</x:v>
      </x:c>
      <x:c r="J6" s="38" t="str">
        <x:v>Six compatibility combinations plus transaction interruption create high operational risk</x:v>
      </x:c>
      <x:c r="K6" s="38" t="str">
        <x:v>Payment interruptions can leave transactions in uncertain states and require reconciliation</x:v>
      </x:c>
      <x:c r="L6" s="38" t="str">
        <x:v>Concentrate on recovery and compatibility, not complete payment certification</x:v>
      </x:c>
      <x:c r="M6" s="46" t="str">
        <x:f>IF(COUNTA(C6:K6)=9,"Complete","Missing fields")</x:f>
        <x:v>Complete</x:v>
      </x:c>
    </x:row>
    <x:row r="7" ht="78" customHeight="1">
      <x:c r="A7" s="42" t="str">
        <x:v>SPEC-03</x:v>
      </x:c>
      <x:c r="B7" s="36" t="str">
        <x:v>New Wi-Fi Access Point Hardware Rollout — Indoor Wi-Fi 7 Model</x:v>
      </x:c>
      <x:c r="C7" s="44" t="str">
        <x:v>HIGH</x:v>
      </x:c>
      <x:c r="D7" s="38" t="str">
        <x:v>Verify all required SSIDs; connect intended devices; verify POS/line-busting device connectivity; verify management and approved-device networks; verify guest network; validate both templates</x:v>
      </x:c>
      <x:c r="E7" s="38" t="str">
        <x:v>AP online; expected SSIDs visible; test device connects</x:v>
      </x:c>
      <x:c r="F7" s="38" t="str">
        <x:v>Existing device connectivity; POS traffic; authentication; guest Wi-Fi continues functioning</x:v>
      </x:c>
      <x:c r="G7" s="38" t="str">
        <x:v>AP/controller; network templates; routing/DHCP/DNS</x:v>
      </x:c>
      <x:c r="H7" s="38" t="str">
        <x:v>Restart AP; device roaming; multiple connected devices; weaker signal area; reconnect behavior</x:v>
      </x:c>
      <x:c r="I7" s="38" t="str">
        <x:v>Required speed/latency; authentication requirements; exact device list; expected coverage level</x:v>
      </x:c>
      <x:c r="J7" s="38" t="str">
        <x:v>Network hardware affects many store operations and could impact guest and production traffic</x:v>
      </x:c>
      <x:c r="K7" s="38" t="str">
        <x:v>Different SSIDs are generally segmented and may have different VLAN/routing policies</x:v>
      </x:c>
      <x:c r="L7" s="38" t="str">
        <x:v>Formal RF/performance certification is not assumed unless defined</x:v>
      </x:c>
      <x:c r="M7" s="46" t="str">
        <x:f>IF(COUNTA(C7:K7)=9,"Complete","Missing fields")</x:f>
        <x:v>Complete</x:v>
      </x:c>
    </x:row>
    <x:row r="8" ht="78" customHeight="1">
      <x:c r="A8" s="42" t="str">
        <x:v>SPEC-04</x:v>
      </x:c>
      <x:c r="B8" s="36" t="str">
        <x:v>New Catering Voucher Tender Key Implementation on POS</x:v>
      </x:c>
      <x:c r="C8" s="44" t="str">
        <x:v>HIGH</x:v>
      </x:c>
      <x:c r="D8" s="38" t="str">
        <x:v>Verify voucher tender exists; use voucher on catering sale; verify payment amount/balance/tax; complete order; validate financial and analytics reports; verify third-party reporting</x:v>
      </x:c>
      <x:c r="E8" s="38" t="str">
        <x:v>Voucher visible; transaction completes; voucher appears in financial report</x:v>
      </x:c>
      <x:c r="F8" s="38" t="str">
        <x:v>Other tender types; catering flow; void/refund where supported; report totals remain accurate</x:v>
      </x:c>
      <x:c r="G8" s="38" t="str">
        <x:v>POS to property/employee/revenue-center reports; analytics; third-party reporting/BI</x:v>
      </x:c>
      <x:c r="H8" s="38" t="str">
        <x:v>Partial voucher; mixed tender; void; refund; voucher above/below order amount</x:v>
      </x:c>
      <x:c r="I8" s="38" t="str">
        <x:v>Voucher balance rules; refund behavior; mixed tender; authorization; accounting mapping</x:v>
      </x:c>
      <x:c r="J8" s="38" t="str">
        <x:v>A new tender directly affects money movement and reporting</x:v>
      </x:c>
      <x:c r="K8" s="38" t="str">
        <x:v>Tender configuration typically drives both transaction handling and downstream financial classification</x:v>
      </x:c>
      <x:c r="L8" s="38" t="str">
        <x:v>Loyalty/KDS/database testing excluded per specification</x:v>
      </x:c>
      <x:c r="M8" s="46" t="str">
        <x:f>IF(COUNTA(C8:K8)=9,"Complete","Missing fields")</x:f>
        <x:v>Complete</x:v>
      </x:c>
    </x:row>
    <x:row r="9" ht="78" customHeight="1">
      <x:c r="A9" s="42" t="str">
        <x:v>SPEC-05</x:v>
      </x:c>
      <x:c r="B9" s="36" t="str">
        <x:v>New Extra-Large Beverage Size Addition to Menu</x:v>
      </x:c>
      <x:c r="C9" s="44" t="str">
        <x:v>HIGH</x:v>
      </x:c>
      <x:c r="D9" s="38" t="str">
        <x:v>Verify XL on specified beverages; verify seasonal variants; verify XL price equals 2× medium; validate six default modifiers; validate extra modifier pricing; verify all modifiers remain selectable</x:v>
      </x:c>
      <x:c r="E9" s="38" t="str">
        <x:v>XL can be ordered and transaction completes with expected base price</x:v>
      </x:c>
      <x:c r="F9" s="38" t="str">
        <x:v>Existing sizes and prices; modifiers for other sizes; other beverages</x:v>
      </x:c>
      <x:c r="G9" s="38" t="str">
        <x:v>Menu configuration and pricing calculation</x:v>
      </x:c>
      <x:c r="H9" s="38" t="str">
        <x:v>Modifier add/remove; price rounding; substitute modifiers; several eligible drinks</x:v>
      </x:c>
      <x:c r="I9" s="38" t="str">
        <x:v>Does 2× apply before modifiers; what happens after six modifiers; rounding rule</x:v>
      </x:c>
      <x:c r="J9" s="38" t="str">
        <x:v>Pricing and modifiers create enough combinations to warrant high depth</x:v>
      </x:c>
      <x:c r="K9" s="38" t="str">
        <x:v>Restaurant menu engines often use inherited modifier groups plus size-specific pricing rules</x:v>
      </x:c>
      <x:c r="L9" s="38" t="str">
        <x:v>Validate representative drinks across each product family rather than every combination</x:v>
      </x:c>
      <x:c r="M9" s="46" t="str">
        <x:f>IF(COUNTA(C9:K9)=9,"Complete","Missing fields")</x:f>
        <x:v>Complete</x:v>
      </x:c>
    </x:row>
    <x:row r="10" ht="78" customHeight="1">
      <x:c r="A10" s="42" t="str">
        <x:v>SPEC-06</x:v>
      </x:c>
      <x:c r="B10" s="36" t="str">
        <x:v>Menu Item Availability App — Time Window Configuration Enhancement</x:v>
      </x:c>
      <x:c r="C10" s="44" t="str">
        <x:v>HIGH</x:v>
      </x:c>
      <x:c r="D10" s="38" t="str">
        <x:v>Configure start/end date and time; verify rule activates daily; verify before/after hours; verify expiration after end date; run on POS 18 and 19</x:v>
      </x:c>
      <x:c r="E10" s="38" t="str">
        <x:v>Schedule saves; item follows basic configured schedule</x:v>
      </x:c>
      <x:c r="F10" s="38" t="str">
        <x:v>Current availability functionality; existing schedules; unrelated items</x:v>
      </x:c>
      <x:c r="G10" s="38" t="str">
        <x:v>Extension to POS/menu availability</x:v>
      </x:c>
      <x:c r="H10" s="38" t="str">
        <x:v>Overnight schedule; one-day rule; future rule; restart during active window; boundary minute</x:v>
      </x:c>
      <x:c r="I10" s="38" t="str">
        <x:v>Timezone; inclusive times; overnight rules; overlapping schedule handling</x:v>
      </x:c>
      <x:c r="J10" s="38" t="str">
        <x:v>Date/time logic frequently fails at boundaries and must support two POS versions</x:v>
      </x:c>
      <x:c r="K10" s="38" t="str">
        <x:v>Store-local time and day boundaries can affect scheduled menu availability</x:v>
      </x:c>
      <x:c r="L10" s="38" t="str">
        <x:v>Prioritize POS 18 due to stated dependency</x:v>
      </x:c>
      <x:c r="M10" s="46" t="str">
        <x:f>IF(COUNTA(C10:K10)=9,"Complete","Missing fields")</x:f>
        <x:v>Complete</x:v>
      </x:c>
    </x:row>
    <x:row r="11" ht="78" customHeight="1">
      <x:c r="A11" s="42" t="str">
        <x:v>SPEC-08</x:v>
      </x:c>
      <x:c r="B11" s="36" t="str">
        <x:v>Role-Based Access Control — Restrict Void on Empty Check for Fraud Prevention</x:v>
      </x:c>
      <x:c r="C11" s="44" t="str">
        <x:v>HIGH</x:v>
      </x:c>
      <x:c r="D11" s="38" t="str">
        <x:v>Verify impacted roles cannot void empty check; verify authorized roles still can where intended; validate void item, return, reopen closed check; run for both brands</x:v>
      </x:c>
      <x:c r="E11" s="38" t="str">
        <x:v>Restricted fraud path blocked; standard sale works</x:v>
      </x:c>
      <x:c r="F11" s="38" t="str">
        <x:v>Role permissions; item void; return; closed-check access; login/logout</x:v>
      </x:c>
      <x:c r="G11" s="38" t="str">
        <x:v>Role/configuration deployment to POS</x:v>
      </x:c>
      <x:c r="H11" s="38" t="str">
        <x:v>Change user mid-check; authorization override; attempt after removing last item; repeat login</x:v>
      </x:c>
      <x:c r="I11" s="38" t="str">
        <x:v>Exact error; manager override behavior; audit requirements; full affected-role list</x:v>
      </x:c>
      <x:c r="J11" s="38" t="str">
        <x:v>Permission changes can accidentally block valid store operations or leave fraud gaps</x:v>
      </x:c>
      <x:c r="K11" s="38" t="str">
        <x:v>POS permissions are role/option based and adjacent actions may share controls</x:v>
      </x:c>
      <x:c r="L11" s="38" t="str">
        <x:v>Use a food item per requirement</x:v>
      </x:c>
      <x:c r="M11" s="46" t="str">
        <x:f>IF(COUNTA(C11:K11)=9,"Complete","Missing fields")</x:f>
        <x:v>Complete</x:v>
      </x:c>
    </x:row>
    <x:row r="12" ht="78" customHeight="1">
      <x:c r="A12" s="42" t="str">
        <x:v>SPEC-09</x:v>
      </x:c>
      <x:c r="B12" s="36" t="str">
        <x:v>Delivery Markup Percentage Update for Third-Party Delivery Platform</x:v>
      </x:c>
      <x:c r="C12" s="44" t="str">
        <x:v>HIGH</x:v>
      </x:c>
      <x:c r="D12" s="38" t="str">
        <x:v>Change markup to 26%; verify target provider transactions; verify both brands; test effective date; confirm other providers unchanged; verify reports</x:v>
      </x:c>
      <x:c r="E12" s="38" t="str">
        <x:v>26% configuration present; representative transaction reports correctly</x:v>
      </x:c>
      <x:c r="F12" s="38" t="str">
        <x:v>Other delivery providers; historical transactions; existing reporting totals</x:v>
      </x:c>
      <x:c r="G12" s="38" t="str">
        <x:v>Delivery provider/reporting configuration through downstream analytics</x:v>
      </x:c>
      <x:c r="H12" s="38" t="str">
        <x:v>Transactions spanning effective date; refunds; delayed ingestion; rounding</x:v>
      </x:c>
      <x:c r="I12" s="38" t="str">
        <x:v>Retroactive versus prospective behavior; effective timestamp; timezone; third-party platform requirement</x:v>
      </x:c>
      <x:c r="J12" s="38" t="str">
        <x:v>Small configuration change can produce broad reporting/revenue errors</x:v>
      </x:c>
      <x:c r="K12" s="38" t="str">
        <x:v>Reporting rate selection can depend on transaction or processing date</x:v>
      </x:c>
      <x:c r="L12" s="38" t="str">
        <x:v>Historical-data expectation must be resolved before sign-off</x:v>
      </x:c>
      <x:c r="M12" s="46" t="str">
        <x:f>IF(COUNTA(C12:K12)=9,"Complete","Missing fields")</x:f>
        <x:v>Complete</x:v>
      </x:c>
    </x:row>
    <x:row r="13" ht="78" customHeight="1">
      <x:c r="A13" s="42" t="str">
        <x:v>SPEC-10</x:v>
      </x:c>
      <x:c r="B13" s="36" t="str">
        <x:v>SSL Certificate Renewal for Loyalty Platform Integration</x:v>
      </x:c>
      <x:c r="C13" s="44" t="str">
        <x:v>HIGH</x:v>
      </x:c>
      <x:c r="D13" s="38" t="str">
        <x:v>Import certificate; configure POS reference; verify loyalty communication; run representative loyalty transaction; validate certificate validity</x:v>
      </x:c>
      <x:c r="E13" s="38" t="str">
        <x:v>Certificate present; loyalty service connects; basic transaction succeeds</x:v>
      </x:c>
      <x:c r="F13" s="38" t="str">
        <x:v>General POS functionality; loyalty scenarios; unaffected environments/brands</x:v>
      </x:c>
      <x:c r="G13" s="38" t="str">
        <x:v>POS/content settings to external loyalty service over TLS</x:v>
      </x:c>
      <x:c r="H13" s="38" t="str">
        <x:v>Restart device; old cert coexistence; missing certificate in test environment; clock/date issue</x:v>
      </x:c>
      <x:c r="I13" s="38" t="str">
        <x:v>Thumbprint; chain; cutover timing; rollback plan; representative loyalty flows</x:v>
      </x:c>
      <x:c r="J13" s="38" t="str">
        <x:v>Certificate failure can completely stop loyalty integration</x:v>
      </x:c>
      <x:c r="K13" s="38" t="str">
        <x:v>TLS trust requires valid certificate chain, hostname, date and correct configuration</x:v>
      </x:c>
      <x:c r="L13" s="38" t="str">
        <x:v>Negative expiration testing should be performed only in controlled environment</x:v>
      </x:c>
      <x:c r="M13" s="46" t="str">
        <x:f>IF(COUNTA(C13:K13)=9,"Complete","Missing fields")</x:f>
        <x:v>Complete</x:v>
      </x:c>
    </x:row>
    <x:row r="14" ht="78" customHeight="1">
      <x:c r="A14" s="42" t="str">
        <x:v>SPEC-11</x:v>
      </x:c>
      <x:c r="B14" s="36" t="str">
        <x:v>Mobile App Advance Order — Price Lock Behavior When Item Prices Change Before Fulfillment</x:v>
      </x:c>
      <x:c r="C14" s="44" t="str">
        <x:v>HIGH</x:v>
      </x:c>
      <x:c r="D14" s="38" t="str">
        <x:v>Create advance paid order; change menu price after purchase; send order to POS later; verify original paid price is used; validate order completion</x:v>
      </x:c>
      <x:c r="E14" s="38" t="str">
        <x:v>Paid future order can be created and fulfilled</x:v>
      </x:c>
      <x:c r="F14" s="38" t="str">
        <x:v>Future order with unchanged price; immediate order; multiple items</x:v>
      </x:c>
      <x:c r="G14" s="38" t="str">
        <x:v>Mobile/order service, pricing and POS fulfillment</x:v>
      </x:c>
      <x:c r="H14" s="38" t="str">
        <x:v>Price increase/decrease; modifier change; multiple changed items; item unavailable</x:v>
      </x:c>
      <x:c r="I14" s="38" t="str">
        <x:v>Taxes/fees locking; modifier-price treatment; source of locked amount; unavailable-item rule</x:v>
      </x:c>
      <x:c r="J14" s="38" t="str">
        <x:v>Payment has already occurred, making repricing behavior financially significant</x:v>
      </x:c>
      <x:c r="K14" s="38" t="str">
        <x:v>Prepaid scheduled orders normally retain a stored financial snapshot</x:v>
      </x:c>
      <x:c r="L14" s="38" t="str">
        <x:v>Objective should be proving expected lock behavior rather than inventing policy</x:v>
      </x:c>
      <x:c r="M14" s="46" t="str">
        <x:f>IF(COUNTA(C14:K14)=9,"Complete","Missing fields")</x:f>
        <x:v>Complete</x:v>
      </x:c>
    </x:row>
    <x:row r="15" ht="78" customHeight="1">
      <x:c r="A15" s="42" t="str">
        <x:v>SPEC-12</x:v>
      </x:c>
      <x:c r="B15" s="36" t="str">
        <x:v>Financial Report Layout Change — Move Third-Party Delivery Detail Section to Bottom</x:v>
      </x:c>
      <x:c r="C15" s="44" t="str">
        <x:v>MEDIUM</x:v>
      </x:c>
      <x:c r="D15" s="38" t="str">
        <x:v>Verify Third-Party Delivery detail moved below Rewards; verify Order Type delivery summary stays put; verify intermediate sections remain ordered correctly; verify numbers unchanged</x:v>
      </x:c>
      <x:c r="E15" s="38" t="str">
        <x:v>Report opens and moved section is in expected location</x:v>
      </x:c>
      <x:c r="F15" s="38" t="str">
        <x:v>Totals; all other sections; printing/export/page layout</x:v>
      </x:c>
      <x:c r="G15" s="38" t="str">
        <x:v>NONE</x:v>
      </x:c>
      <x:c r="H15" s="38" t="str">
        <x:v>Long report; no delivery activity; multiple providers; page break behavior</x:v>
      </x:c>
      <x:c r="I15" s="38" t="str">
        <x:v>Required formats; exact final section order</x:v>
      </x:c>
      <x:c r="J15" s="38" t="str">
        <x:v>Mainly a presentation/report-format change with limited business logic</x:v>
      </x:c>
      <x:c r="K15" s="38" t="str">
        <x:v>Moving report sections can affect pagination without changing financial calculations</x:v>
      </x:c>
      <x:c r="L15" s="38" t="str">
        <x:v>Data reconciliation is still necessary</x:v>
      </x:c>
      <x:c r="M15" s="46" t="str">
        <x:f>IF(COUNTA(C15:K15)=9,"Complete","Missing fields")</x:f>
        <x:v>Complete</x:v>
      </x:c>
    </x:row>
    <x:row r="16" ht="78" customHeight="1">
      <x:c r="A16" s="42" t="str">
        <x:v>SPEC-13</x:v>
      </x:c>
      <x:c r="B16" s="36" t="str">
        <x:v>POS Hierarchy Zone Addition for Full-Menu Non-Traditional Store Locations</x:v>
      </x:c>
      <x:c r="C16" s="44" t="str">
        <x:v>HIGH</x:v>
      </x:c>
      <x:c r="D16" s="38" t="str">
        <x:v>Create/use new zone; assign property; confirm standard config inherited; verify full menu pages; confirm limited menu pages are absent</x:v>
      </x:c>
      <x:c r="E16" s="38" t="str">
        <x:v>Property assigned; full menu configuration downloads</x:v>
      </x:c>
      <x:c r="F16" s="38" t="str">
        <x:v>Existing zones; standard zone; reassignment behavior</x:v>
      </x:c>
      <x:c r="G16" s="38" t="str">
        <x:v>Hierarchy/zone configuration to store POS</x:v>
      </x:c>
      <x:c r="H16" s="38" t="str">
        <x:v>Move store between zones; refresh configuration; clean install; local overrides</x:v>
      </x:c>
      <x:c r="I16" s="38" t="str">
        <x:v>Exact inheritance rules; expected full-menu config identifiers; migration behavior</x:v>
      </x:c>
      <x:c r="J16" s="38" t="str">
        <x:v>Wrong inheritance could deploy an unusable menu to a restaurant</x:v>
      </x:c>
      <x:c r="K16" s="38" t="str">
        <x:v>POS hierarchy normally uses parent-child inheritance with potential local overrides</x:v>
      </x:c>
      <x:c r="L16" s="38" t="str">
        <x:v>Do not exhaustively test entire full menu</x:v>
      </x:c>
      <x:c r="M16" s="46" t="str">
        <x:f>IF(COUNTA(C16:K16)=9,"Complete","Missing fields")</x:f>
        <x:v>Complete</x:v>
      </x:c>
    </x:row>
    <x:row r="17" ht="78" customHeight="1">
      <x:c r="A17" s="42" t="str">
        <x:v>SPEC-14</x:v>
      </x:c>
      <x:c r="B17" s="36" t="str">
        <x:v>Digital Ordering App Version Upgrade — Multi-Device and Multi-OS Compatibility Testing</x:v>
      </x:c>
      <x:c r="C17" s="44" t="str">
        <x:v>HIGH</x:v>
      </x:c>
      <x:c r="D17" s="38" t="str">
        <x:v>Upgrade/install app; validate core functions on four device/iOS combinations; prioritize iOS 18.5; add tests from vendor release notes</x:v>
      </x:c>
      <x:c r="E17" s="38" t="str">
        <x:v>App launches and core transaction/order flow works on all combinations</x:v>
      </x:c>
      <x:c r="F17" s="38" t="str">
        <x:v>Existing production functionality on iOS 18.5; key workflows after upgrade</x:v>
      </x:c>
      <x:c r="G17" s="38" t="str">
        <x:v>App to existing APIs/services</x:v>
      </x:c>
      <x:c r="H17" s="38" t="str">
        <x:v>Rotate/background app; network loss; permissions; device restart; performance observations</x:v>
      </x:c>
      <x:c r="I17" s="38" t="str">
        <x:v>Vendor release notes; install vs upgrade; exact core suite; supported matrix</x:v>
      </x:c>
      <x:c r="J17" s="38" t="str">
        <x:v>Four-platform matrix means compatibility risk even if feature changes are unknown</x:v>
      </x:c>
      <x:c r="K17" s="38" t="str">
        <x:v>OS changes may affect permissions, UI rendering, networking and SDKs</x:v>
      </x:c>
      <x:c r="L17" s="38" t="str">
        <x:v>Release notes are required for targeted new-feature validation</x:v>
      </x:c>
      <x:c r="M17" s="46" t="str">
        <x:f>IF(COUNTA(C17:K17)=9,"Complete","Missing fields")</x:f>
        <x:v>Complete</x:v>
      </x:c>
    </x:row>
    <x:row r="18" ht="78" customHeight="1">
      <x:c r="A18" s="42" t="str">
        <x:v>SPEC-15</x:v>
      </x:c>
      <x:c r="B18" s="36" t="str">
        <x:v>Gift Card Transaction Cancel Messaging Fix — Validate Correct Terminal Display With Cloud Processing Disabled</x:v>
      </x:c>
      <x:c r="C18" s="44" t="str">
        <x:v>MEDIUM</x:v>
      </x:c>
      <x:c r="D18" s="38" t="str">
        <x:v>Disable cloud processing; run gift-card transaction; cancel; verify exact CANCEL TRANSACTION prompt; ensure old message is absent</x:v>
      </x:c>
      <x:c r="E18" s="38" t="str">
        <x:v>Gift-card flow starts; cancellation safely exits</x:v>
      </x:c>
      <x:c r="F18" s="38" t="str">
        <x:v>Other cancellation flows; core gift-card operations; normal POS sale</x:v>
      </x:c>
      <x:c r="G18" s="38" t="str">
        <x:v>POS to terminal/gift-card messaging</x:v>
      </x:c>
      <x:c r="H18" s="38" t="str">
        <x:v>Cancel at multiple steps; repeat; different user; device restart</x:v>
      </x:c>
      <x:c r="I18" s="38" t="str">
        <x:v>Which gift-card functions; whether cloud-enabled mode requires comparison; affected versions</x:v>
      </x:c>
      <x:c r="J18" s="38" t="str">
        <x:v>Very specific defect with narrow acceptance criterion</x:v>
      </x:c>
      <x:c r="K18" s="38" t="str">
        <x:v>Payment-device prompts can depend on transaction state/configuration</x:v>
      </x:c>
      <x:c r="L18" s="38" t="str">
        <x:v>Exact text should be verified literally</x:v>
      </x:c>
      <x:c r="M18" s="46" t="str">
        <x:f>IF(COUNTA(C18:K18)=9,"Complete","Missing fields")</x:f>
        <x:v>Complete</x:v>
      </x:c>
    </x:row>
    <x:row r="19" ht="78" customHeight="1">
      <x:c r="A19" s="42" t="str">
        <x:v>SPEC-16</x:v>
      </x:c>
      <x:c r="B19" s="36" t="str">
        <x:v>Regression Testing for Existing Serialized Coupons After New Promotional BIN Ranges Added</x:v>
      </x:c>
      <x:c r="C19" s="44" t="str">
        <x:v>MEDIUM</x:v>
      </x:c>
      <x:c r="D19" s="38" t="str">
        <x:v>Validate current serialized coupon BINs; verify existing coupons still recognize and discount correctly; test valid/invalid samples</x:v>
      </x:c>
      <x:c r="E19" s="38" t="str">
        <x:v>Existing coupon applies and sale completes</x:v>
      </x:c>
      <x:c r="F19" s="38" t="str">
        <x:v>Boundary ranges; other current coupons; expired/invalid sample; multiple discounts where permitted</x:v>
      </x:c>
      <x:c r="G19" s="38" t="str">
        <x:v>CMS/configuration to POS coupon recognition</x:v>
      </x:c>
      <x:c r="H19" s="38" t="str">
        <x:v>First/last BIN values; similar prefix; multiple coupon scan; manual entry if supported</x:v>
      </x:c>
      <x:c r="I19" s="38" t="str">
        <x:v>Existing BIN list; stacking requirements; representative coupon inventory</x:v>
      </x:c>
      <x:c r="J19" s="38" t="str">
        <x:v>Primary objective is confidence that new configuration did not break existing ranges</x:v>
      </x:c>
      <x:c r="K19" s="38" t="str">
        <x:v>BIN matching often relies on prefix/range logic where overlap can cause regressions</x:v>
      </x:c>
      <x:c r="L19" s="38" t="str">
        <x:v>No need to completely retest ranges already functionally certified</x:v>
      </x:c>
      <x:c r="M19" s="46" t="str">
        <x:f>IF(COUNTA(C19:K19)=9,"Complete","Missing fields")</x:f>
        <x:v>Complete</x:v>
      </x:c>
    </x:row>
    <x:row r="20" ht="78" customHeight="1">
      <x:c r="A20" s="42" t="str">
        <x:v>SPEC-17</x:v>
      </x:c>
      <x:c r="B20" s="36" t="str">
        <x:v>Antivirus Exclusion Script Deployment for Remote Management Tool — POS Terminal Validation</x:v>
      </x:c>
      <x:c r="C20" s="44" t="str">
        <x:v>HIGH</x:v>
      </x:c>
      <x:c r="D20" s="38" t="str">
        <x:v>Deploy script; verify Defender exclusions; verify remote-support tool can run; verify intended exclusions only; run representative POS functions</x:v>
      </x:c>
      <x:c r="E20" s="38" t="str">
        <x:v>Script completes; tool launches/connects; POS works</x:v>
      </x:c>
      <x:c r="F20" s="38" t="str">
        <x:v>POS sale; network access; Defender remains operational; exclusions survive reboot</x:v>
      </x:c>
      <x:c r="G20" s="38" t="str">
        <x:v>Windows Defender and remote-management/support tool</x:v>
      </x:c>
      <x:c r="H20" s="38" t="str">
        <x:v>Re-run script; reboot; tool upgrade; invalid/missing path; script interruption</x:v>
      </x:c>
      <x:c r="I20" s="38" t="str">
        <x:v>Exact exclusion list; Windows versions; persistence; target POS versions</x:v>
      </x:c>
      <x:c r="J20" s="38" t="str">
        <x:v>Endpoint-security changes can either block support or reduce protection if incorrect</x:v>
      </x:c>
      <x:c r="K20" s="38" t="str">
        <x:v>Security exclusions should be precise rather than broad</x:v>
      </x:c>
      <x:c r="L20" s="38" t="str">
        <x:v>Avoid malicious-file testing</x:v>
      </x:c>
      <x:c r="M20" s="46" t="str">
        <x:f>IF(COUNTA(C20:K20)=9,"Complete","Missing fields")</x:f>
        <x:v>Complete</x:v>
      </x:c>
    </x:row>
    <x:row r="21" ht="78" customHeight="1">
      <x:c r="A21" s="42" t="str">
        <x:v>SPEC-18</x:v>
      </x:c>
      <x:c r="B21" s="36" t="str">
        <x:v>POS Crew Notification Feature Enablement on POS Workstations</x:v>
      </x:c>
      <x:c r="C21" s="44" t="str">
        <x:v>HIGH</x:v>
      </x:c>
      <x:c r="D21" s="38" t="str">
        <x:v>Create notification; schedule it; log in/clock in as crew member; verify notification; test different message categories; verify management/update capability</x:v>
      </x:c>
      <x:c r="E21" s="38" t="str">
        <x:v>Notification can be configured and displays at clock-in</x:v>
      </x:c>
      <x:c r="F21" s="38" t="str">
        <x:v>Clock-in; role permissions; normal POS use; existing employee setup</x:v>
      </x:c>
      <x:c r="G21" s="38" t="str">
        <x:v>Management configuration to store workstation/POS</x:v>
      </x:c>
      <x:c r="H21" s="38" t="str">
        <x:v>Multiple notifications; expired/future; long message; repeat clock-in; different workstation</x:v>
      </x:c>
      <x:c r="I21" s="38" t="str">
        <x:v>Author roles; timezone; dismissal; priority/order; length; audit/history</x:v>
      </x:c>
      <x:c r="J21" s="38" t="str">
        <x:v>New scheduling and employee-facing workflow adds several behavioral rules</x:v>
      </x:c>
      <x:c r="K21" s="38" t="str">
        <x:v>Clock-in is a critical workforce workflow and should not be interrupted by messaging errors</x:v>
      </x:c>
      <x:c r="L21" s="38" t="str">
        <x:v>Test several employee roles if behavior may differ</x:v>
      </x:c>
      <x:c r="M21" s="46" t="str">
        <x:f>IF(COUNTA(C21:K21)=9,"Complete","Missing fields")</x:f>
        <x:v>Complete</x:v>
      </x:c>
    </x:row>
    <x:row r="22" ht="78" customHeight="1">
      <x:c r="A22" s="42" t="str">
        <x:v>SPEC-19</x:v>
      </x:c>
      <x:c r="B22" s="36" t="str">
        <x:v>Secondary DNS Provider Change — Broad System Regression Across All Network-Dependent Functions</x:v>
      </x:c>
      <x:c r="C22" s="44" t="str">
        <x:v>HIGH</x:v>
      </x:c>
      <x:c r="D22" s="38" t="str">
        <x:v>Configure secondary DNS; verify normal resolution; make primary unavailable; verify secondary resolution; run listed payment, ordering, loyalty, gift card, delivery, KDS, reporting and management workflows</x:v>
      </x:c>
      <x:c r="E22" s="38" t="str">
        <x:v>DNS works; POS reaches essential services; transaction/payment path works</x:v>
      </x:c>
      <x:c r="F22" s="38" t="str">
        <x:v>All listed network services while primary is healthy; recovery after outage</x:v>
      </x:c>
      <x:c r="G22" s="38" t="str">
        <x:v>DNS with all external/internal store services</x:v>
      </x:c>
      <x:c r="H22" s="38" t="str">
        <x:v>Cache behavior; restart; intermittent failure; primary recovery; unresolved internal hostname</x:v>
      </x:c>
      <x:c r="I22" s="38" t="str">
        <x:v>Failover procedure; IP addresses; internal/private DNS dependency; expected failover time</x:v>
      </x:c>
      <x:c r="J22" s="38" t="str">
        <x:v>DNS is foundational to almost every connected system in the store</x:v>
      </x:c>
      <x:c r="K22" s="38" t="str">
        <x:v>Secondary DNS behavior varies by OS/client and public DNS may not resolve private records</x:v>
      </x:c>
      <x:c r="L22" s="38" t="str">
        <x:v>A successful normal-state test alone does not prove failover</x:v>
      </x:c>
      <x:c r="M22" s="46" t="str">
        <x:f>IF(COUNTA(C22:K22)=9,"Complete","Missing fields")</x:f>
        <x:v>Complete</x:v>
      </x:c>
    </x:row>
  </x:sheetData>
  <x:conditionalFormatting sqref="M5:M22">
    <x:cfRule type="containsText" dxfId="0" priority="1" operator="containsText" text="Missing fields"/>
    <x:cfRule type="containsText" dxfId="1" priority="2" operator="containsText" text="Complete"/>
  </x:conditionalFormatting>
  <x:dataValidations count="1">
    <x:dataValidation type="list" sqref="C5:C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16"/>
      <x:c r="B3" s="16" t="str">
        <x:v>Frozen source hash: 48d94cce163cf21efa712939bd4334b0a89260434aafe0d83a00cbd2dd3856f0. Historical ground-truth fields are deliberately excluded.</x:v>
      </x:c>
      <x:c r="C3" s="16"/>
      <x:c r="D3" s="16"/>
      <x:c r="E3" s="16"/>
      <x:c r="F3" s="16"/>
    </x:row>
    <x:row r="4" ht="32" customHeight="1">
      <x:c r="A4" s="28" t="str">
        <x:v>Spec ID</x:v>
      </x:c>
      <x:c r="B4" s="29" t="str">
        <x:v>Title</x:v>
      </x:c>
      <x:c r="C4" s="29" t="str">
        <x:v>Change type</x:v>
      </x:c>
      <x:c r="D4" s="29" t="str">
        <x:v>System area</x:v>
      </x:c>
      <x:c r="E4" s="29" t="str">
        <x:v>Description</x:v>
      </x:c>
      <x:c r="F4" s="30" t="str">
        <x:v>Acceptance criteria</x:v>
      </x:c>
    </x:row>
    <x:row r="5" ht="112" customHeight="1">
      <x:c r="A5" s="47" t="str">
        <x:v>SPEC-01</x:v>
      </x:c>
      <x:c r="B5" s="33" t="str">
        <x:v>Online Ordering Portal Still Shows Menu Item as Available After Overnight Menu Sync</x:v>
      </x:c>
      <x:c r="C5" s="33" t="str">
        <x:v>Bug fix / Integration patch</x:v>
      </x:c>
      <x:c r="D5" s="33" t="str">
        <x:v>POS to online ordering platform integration (menu sync)</x:v>
      </x:c>
      <x:c r="E5" s="33"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33"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8" t="str">
        <x:v>SPEC-02</x:v>
      </x:c>
      <x:c r="B6" s="34" t="str">
        <x:v>Payment Device Firmware Update — Quick Chip Reconnection Fix</x:v>
      </x:c>
      <x:c r="C6" s="34" t="str">
        <x:v>Patch (vendor-delivered firmware fix)</x:v>
      </x:c>
      <x:c r="D6" s="34" t="str">
        <x:v>Payment processing / POS to payment terminal integration</x:v>
      </x:c>
      <x:c r="E6" s="34"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34" t="str">
        <x:v>None supplied</x:v>
      </x:c>
    </x:row>
    <x:row r="7" ht="112" customHeight="1">
      <x:c r="A7" s="48" t="str">
        <x:v>SPEC-03</x:v>
      </x:c>
      <x:c r="B7" s="34" t="str">
        <x:v>New Wi-Fi Access Point Hardware Rollout — Indoor Wi-Fi 7 Model</x:v>
      </x:c>
      <x:c r="C7" s="34" t="str">
        <x:v>Infrastructure / hardware replacement</x:v>
      </x:c>
      <x:c r="D7" s="34" t="str">
        <x:v>Network infrastructure (store connectivity, line-busting, POS communication)</x:v>
      </x:c>
      <x:c r="E7" s="34"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34" t="str">
        <x:v>None supplied</x:v>
      </x:c>
    </x:row>
    <x:row r="8" ht="112" customHeight="1">
      <x:c r="A8" s="48" t="str">
        <x:v>SPEC-04</x:v>
      </x:c>
      <x:c r="B8" s="34" t="str">
        <x:v>New Catering Voucher Tender Key Implementation on POS</x:v>
      </x:c>
      <x:c r="C8" s="34" t="str">
        <x:v>New feature (new payment tender type)</x:v>
      </x:c>
      <x:c r="D8" s="34" t="str">
        <x:v>Payment processing, POS, financial reporting, analytics, third-party data pipeline</x:v>
      </x:c>
      <x:c r="E8" s="34"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34" t="str">
        <x:v>None supplied</x:v>
      </x:c>
    </x:row>
    <x:row r="9" ht="112" customHeight="1">
      <x:c r="A9" s="48" t="str">
        <x:v>SPEC-05</x:v>
      </x:c>
      <x:c r="B9" s="34" t="str">
        <x:v>New Extra-Large Beverage Size Addition to Menu</x:v>
      </x:c>
      <x:c r="C9" s="34" t="str">
        <x:v>New feature (menu item / size tier addition)</x:v>
      </x:c>
      <x:c r="D9" s="34" t="str">
        <x:v>Menu configuration, POS ordering, pricing engine</x:v>
      </x:c>
      <x:c r="E9" s="34"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34" t="str">
        <x:v>None supplied</x:v>
      </x:c>
    </x:row>
    <x:row r="10" ht="112" customHeight="1">
      <x:c r="A10" s="48" t="str">
        <x:v>SPEC-06</x:v>
      </x:c>
      <x:c r="B10" s="34" t="str">
        <x:v>Menu Item Availability App — Time Window Configuration Enhancement</x:v>
      </x:c>
      <x:c r="C10" s="34" t="str">
        <x:v>Enhancement (software behavior change in version update)</x:v>
      </x:c>
      <x:c r="D10" s="34" t="str">
        <x:v>POS extension app / menu item scheduling</x:v>
      </x:c>
      <x:c r="E10" s="34"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34" t="str">
        <x:v>None supplied</x:v>
      </x:c>
    </x:row>
    <x:row r="11" ht="112" customHeight="1">
      <x:c r="A11" s="48" t="str">
        <x:v>SPEC-08</x:v>
      </x:c>
      <x:c r="B11" s="34" t="str">
        <x:v>Role-Based Access Control — Restrict Void on Empty Check for Fraud Prevention</x:v>
      </x:c>
      <x:c r="C11" s="34" t="str">
        <x:v>Security / access control configuration change</x:v>
      </x:c>
      <x:c r="D11" s="34" t="str">
        <x:v>POS role configuration, transaction management</x:v>
      </x:c>
      <x:c r="E11" s="34"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34" t="str">
        <x:v>None supplied</x:v>
      </x:c>
    </x:row>
    <x:row r="12" ht="112" customHeight="1">
      <x:c r="A12" s="48" t="str">
        <x:v>SPEC-09</x:v>
      </x:c>
      <x:c r="B12" s="34" t="str">
        <x:v>Delivery Markup Percentage Update for Third-Party Delivery Platform</x:v>
      </x:c>
      <x:c r="C12" s="34" t="str">
        <x:v>Configuration change (percentage value update)</x:v>
      </x:c>
      <x:c r="D12" s="34" t="str">
        <x:v>Reporting/analytics configuration, third-party delivery platform, data pipeline</x:v>
      </x:c>
      <x:c r="E12" s="34"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34" t="str">
        <x:v>None supplied</x:v>
      </x:c>
    </x:row>
    <x:row r="13" ht="112" customHeight="1">
      <x:c r="A13" s="48" t="str">
        <x:v>SPEC-10</x:v>
      </x:c>
      <x:c r="B13" s="34" t="str">
        <x:v>SSL Certificate Renewal for Loyalty Platform Integration</x:v>
      </x:c>
      <x:c r="C13" s="34" t="str">
        <x:v>Infrastructure / security (certificate rotation)</x:v>
      </x:c>
      <x:c r="D13" s="34" t="str">
        <x:v>POS terminals, tablets, loyalty platform integration, content management configuration</x:v>
      </x:c>
      <x:c r="E13" s="34"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34" t="str">
        <x:v>None supplied</x:v>
      </x:c>
    </x:row>
    <x:row r="14" ht="112" customHeight="1">
      <x:c r="A14" s="48" t="str">
        <x:v>SPEC-11</x:v>
      </x:c>
      <x:c r="B14" s="34" t="str">
        <x:v>Mobile App Advance Order — Price Lock Behavior When Item Prices Change Before Fulfillment</x:v>
      </x:c>
      <x:c r="C14" s="34" t="str">
        <x:v>Exploratory / edge case validation</x:v>
      </x:c>
      <x:c r="D14" s="34" t="str">
        <x:v>Mobile ordering app, pricing engine, POS order processing</x:v>
      </x:c>
      <x:c r="E14" s="34"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34" t="str">
        <x:v>None supplied</x:v>
      </x:c>
    </x:row>
    <x:row r="15" ht="112" customHeight="1">
      <x:c r="A15" s="48" t="str">
        <x:v>SPEC-12</x:v>
      </x:c>
      <x:c r="B15" s="34" t="str">
        <x:v>Financial Report Layout Change — Move Third-Party Delivery Detail Section to Bottom</x:v>
      </x:c>
      <x:c r="C15" s="34" t="str">
        <x:v>Enhancement (report layout / section reordering)</x:v>
      </x:c>
      <x:c r="D15" s="34" t="str">
        <x:v>Financial reporting (property-level report)</x:v>
      </x:c>
      <x:c r="E15" s="34"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34" t="str">
        <x:v>None supplied</x:v>
      </x:c>
    </x:row>
    <x:row r="16" ht="112" customHeight="1">
      <x:c r="A16" s="48" t="str">
        <x:v>SPEC-13</x:v>
      </x:c>
      <x:c r="B16" s="34" t="str">
        <x:v>POS Hierarchy Zone Addition for Full-Menu Non-Traditional Store Locations</x:v>
      </x:c>
      <x:c r="C16" s="34" t="str">
        <x:v>Configuration change (new zone addition to hierarchy)</x:v>
      </x:c>
      <x:c r="D16" s="34" t="str">
        <x:v>POS configuration, hierarchy and zone management, menu and page design</x:v>
      </x:c>
      <x:c r="E16" s="34"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34" t="str">
        <x:v>None supplied</x:v>
      </x:c>
    </x:row>
    <x:row r="17" ht="112" customHeight="1">
      <x:c r="A17" s="48" t="str">
        <x:v>SPEC-14</x:v>
      </x:c>
      <x:c r="B17" s="34" t="str">
        <x:v>Digital Ordering App Version Upgrade — Multi-Device and Multi-OS Compatibility Testing</x:v>
      </x:c>
      <x:c r="C17" s="34" t="str">
        <x:v>Version upgrade (third-party application)</x:v>
      </x:c>
      <x:c r="D17" s="34" t="str">
        <x:v>Tablet-based digital ordering application, device and OS compatibility</x:v>
      </x:c>
      <x:c r="E17" s="34"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34" t="str">
        <x:v>None supplied</x:v>
      </x:c>
    </x:row>
    <x:row r="18" ht="112" customHeight="1">
      <x:c r="A18" s="48" t="str">
        <x:v>SPEC-15</x:v>
      </x:c>
      <x:c r="B18" s="34" t="str">
        <x:v>Gift Card Transaction Cancel Messaging Fix — Validate Correct Terminal Display With Cloud Processing Disabled</x:v>
      </x:c>
      <x:c r="C18" s="34" t="str">
        <x:v>Bug fix (UI messaging mismatch caused by mismatched configuration files)</x:v>
      </x:c>
      <x:c r="D18" s="34" t="str">
        <x:v>Gift card processing, POS terminal display, backend cloud processing</x:v>
      </x:c>
      <x:c r="E18" s="34"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34" t="str">
        <x:v>None supplied</x:v>
      </x:c>
    </x:row>
    <x:row r="19" ht="112" customHeight="1">
      <x:c r="A19" s="48" t="str">
        <x:v>SPEC-16</x:v>
      </x:c>
      <x:c r="B19" s="34" t="str">
        <x:v>Regression Testing for Existing Serialized Coupons After New Promotional BIN Ranges Added</x:v>
      </x:c>
      <x:c r="C19" s="34" t="str">
        <x:v>Regression test (new content records added, validate no interference with existing)</x:v>
      </x:c>
      <x:c r="D19" s="34" t="str">
        <x:v>Coupon and discount processing, POS, content management system</x:v>
      </x:c>
      <x:c r="E19" s="34"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34" t="str">
        <x:v>None supplied</x:v>
      </x:c>
    </x:row>
    <x:row r="20" ht="112" customHeight="1">
      <x:c r="A20" s="48" t="str">
        <x:v>SPEC-17</x:v>
      </x:c>
      <x:c r="B20" s="34" t="str">
        <x:v>Antivirus Exclusion Script Deployment for Remote Management Tool — POS Terminal Validation</x:v>
      </x:c>
      <x:c r="C20" s="34" t="str">
        <x:v>Security / infrastructure (script deployment and antivirus configuration)</x:v>
      </x:c>
      <x:c r="D20" s="34" t="str">
        <x:v>POS terminals, Windows Defender antivirus, remote management tooling</x:v>
      </x:c>
      <x:c r="E20" s="34"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34" t="str">
        <x:v>None supplied</x:v>
      </x:c>
    </x:row>
    <x:row r="21" ht="112" customHeight="1">
      <x:c r="A21" s="48" t="str">
        <x:v>SPEC-18</x:v>
      </x:c>
      <x:c r="B21" s="34" t="str">
        <x:v>POS Crew Notification Feature Enablement on POS Workstations</x:v>
      </x:c>
      <x:c r="C21" s="34" t="str">
        <x:v>New feature (POS notification scheduling and display system)</x:v>
      </x:c>
      <x:c r="D21" s="34" t="str">
        <x:v>POS workstation, employee clock-in workflow, notification management</x:v>
      </x:c>
      <x:c r="E21" s="34"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34" t="str">
        <x:v>None supplied</x:v>
      </x:c>
    </x:row>
    <x:row r="22" ht="112" customHeight="1">
      <x:c r="A22" s="48" t="str">
        <x:v>SPEC-19</x:v>
      </x:c>
      <x:c r="B22" s="34" t="str">
        <x:v>Secondary DNS Provider Change — Broad System Regression Across All Network-Dependent Functions</x:v>
      </x:c>
      <x:c r="C22" s="34" t="str">
        <x:v>Infrastructure / network configuration change (DNS provider update)</x:v>
      </x:c>
      <x:c r="D22" s="34" t="str">
        <x:v>Network infrastructure, DNS resolution, payment processing, online ordering, delivery integrations, loyalty, reporting, employee management</x:v>
      </x:c>
      <x:c r="E22" s="34"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34" t="str">
        <x:v>None supplied</x:v>
      </x:c>
    </x:row>
  </x:sheetData>
  <x:pageMargins left="0.7" right="0.7" top="0.75" bottom="0.75" header="0.3" footer="0.3"/>
</x:worksheet>
</file>