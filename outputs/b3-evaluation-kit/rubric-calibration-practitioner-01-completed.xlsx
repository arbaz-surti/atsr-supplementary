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1a147413d94ccc" /></Relationships>
</file>

<file path=xl/workbook.xml><?xml version="1.0" encoding="utf-8"?>
<x:workbook xmlns:x="http://schemas.openxmlformats.org/spreadsheetml/2006/main">
  <x:sheets>
    <x:sheet xmlns:r="http://schemas.openxmlformats.org/officeDocument/2006/relationships" name="Read First" sheetId="1" r:id="R7c4fe789d0354e16"/>
    <x:sheet xmlns:r="http://schemas.openxmlformats.org/officeDocument/2006/relationships" name="Calibration" sheetId="2" r:id="R31a933caed8243f7"/>
    <x:sheet xmlns:r="http://schemas.openxmlformats.org/officeDocument/2006/relationships" name="Neutral Case" sheetId="3" r:id="R82482e8535c7497f"/>
    <x:sheet xmlns:r="http://schemas.openxmlformats.org/officeDocument/2006/relationships" name="Rubric" sheetId="4" r:id="R75c1a3669fad450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b/>
      <x:sz val="10"/>
      <x:color rgb="FFFFFFFF"/>
      <x:name val="Arial"/>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3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4" xfId="0" applyNumberFormat="1" applyFont="1" applyFill="1" applyBorder="1"/>
    <x:xf numFmtId="0" fontId="6" fillId="4" borderId="2"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borderId="2" xfId="0" applyNumberFormat="1" applyFont="1" applyFill="1" applyBorder="1" applyAlignment="1">
      <x:alignment horizontal="center" wrapText="1"/>
    </x:xf>
    <x:xf numFmtId="0" fontId="6" fillId="4" borderId="3" xfId="0" applyNumberFormat="1" applyFont="1" applyFill="1" applyBorder="1" applyAlignment="1">
      <x:alignment horizontal="center" wrapText="1"/>
    </x:xf>
    <x:xf numFmtId="0" fontId="6" fillId="4" borderId="4" xfId="0" applyNumberFormat="1" applyFont="1" applyFill="1" applyBorder="1" applyAlignment="1">
      <x:alignment horizontal="center"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2" fillId="0" borderId="5" xfId="0" applyNumberFormat="1" applyFont="1" applyFill="1" applyBorder="1"/>
    <x:xf numFmtId="0" fontId="2" fillId="0" borderId="6" xfId="0" applyNumberFormat="1" applyFont="1" applyFill="1" applyBorder="1"/>
    <x:xf numFmtId="0" fontId="2" fillId="0" borderId="5" xfId="0" applyNumberFormat="1" applyFont="1" applyFill="1" applyBorder="1" applyAlignment="1">
      <x:alignment vertical="top"/>
    </x:xf>
    <x:xf numFmtId="0" fontId="2" fillId="0" borderId="6" xfId="0" applyNumberFormat="1" applyFont="1" applyFill="1" applyBorder="1" applyAlignment="1">
      <x:alignment vertical="top"/>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88e94ee09b4bec" /><Relationship Type="http://schemas.openxmlformats.org/officeDocument/2006/relationships/theme" Target="/xl/theme/theme1.xml" Id="Reafcec4ee6ef4fda" /><Relationship Type="http://schemas.openxmlformats.org/officeDocument/2006/relationships/sharedStrings" Target="/xl/sharedStrings.xml" Id="R8b5a465a04414784" /><Relationship Type="http://schemas.openxmlformats.org/officeDocument/2006/relationships/worksheet" Target="/xl/worksheets/sheet1.xml" Id="R7c4fe789d0354e16" /><Relationship Type="http://schemas.openxmlformats.org/officeDocument/2006/relationships/worksheet" Target="/xl/worksheets/sheet2.xml" Id="R31a933caed8243f7" /><Relationship Type="http://schemas.openxmlformats.org/officeDocument/2006/relationships/worksheet" Target="/xl/worksheets/sheet3.xml" Id="R82482e8535c7497f" /><Relationship Type="http://schemas.openxmlformats.org/officeDocument/2006/relationships/worksheet" Target="/xl/worksheets/sheet4.xml" Id="R75c1a3669fad45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0" hidden="0" customWidth="1"/>
    <x:col min="2" max="2" width="70" hidden="0" customWidth="1"/>
  </x:cols>
  <x:sheetData>
    <x:row r="2">
      <x:c r="A2" s="1" t="str">
        <x:v>B3 neutral rubric calibration</x:v>
      </x:c>
      <x:c r="B2" s="1"/>
      <x:c r="C2" s="1"/>
      <x:c r="D2" s="1"/>
      <x:c r="E2" s="1"/>
      <x:c r="F2" s="1"/>
      <x:c r="G2" s="1"/>
      <x:c r="H2" s="1"/>
    </x:row>
    <x:row r="3">
      <x:c r="A3" s="2"/>
      <x:c r="B3" s="2"/>
      <x:c r="C3" s="2"/>
      <x:c r="D3" s="2"/>
      <x:c r="E3" s="2"/>
      <x:c r="F3" s="2"/>
      <x:c r="G3" s="2"/>
      <x:c r="H3" s="2"/>
    </x:row>
    <x:row r="5">
      <x:c r="A5" s="3" t="str">
        <x:v>Protocol</x:v>
      </x:c>
      <x:c r="B5" s="4" t="str">
        <x:v>ATSR-SREP-R2-v1.0</x:v>
      </x:c>
    </x:row>
    <x:row r="6">
      <x:c r="A6" s="3" t="str">
        <x:v>Rater ID</x:v>
      </x:c>
      <x:c r="B6" s="4" t="str">
        <x:v>PRACTITIONER-01</x:v>
      </x:c>
    </x:row>
    <x:row r="7">
      <x:c r="A7" s="3" t="str">
        <x:v>Calibration items</x:v>
      </x:c>
      <x:c r="B7" s="4" t="n">
        <x:v>25</x:v>
      </x:c>
    </x:row>
    <x:row r="8">
      <x:c r="A8" s="3" t="str">
        <x:v>Items complete</x:v>
      </x:c>
      <x:c r="B8" s="4" t="n">
        <x:f>COUNTIFS(Calibration!G5:G29,"Complete")</x:f>
        <x:v>25</x:v>
      </x:c>
    </x:row>
    <x:row r="9">
      <x:c r="A9" s="3" t="str">
        <x:v>Items remaining</x:v>
      </x:c>
      <x:c r="B9" s="4" t="n">
        <x:f>25-B8</x:f>
        <x:v>0</x:v>
      </x:c>
    </x:row>
    <x:row r="10">
      <x:c r="A10" s="3" t="str">
        <x:v>Stage</x:v>
      </x:c>
      <x:c r="B10" s="4" t="str">
        <x:v>Independent scoring before discussion</x:v>
      </x:c>
    </x:row>
    <x:row r="12">
      <x:c r="A12" s="6" t="str">
        <x:v>Instructions</x:v>
      </x:c>
      <x:c r="B12" s="6"/>
      <x:c r="C12" s="6"/>
      <x:c r="D12" s="6"/>
      <x:c r="E12" s="6"/>
      <x:c r="F12" s="6"/>
      <x:c r="G12" s="6"/>
      <x:c r="H12" s="6"/>
    </x:row>
    <x:row r="13" ht="42" customHeight="1">
      <x:c r="A13" s="7" t="str">
        <x:v>1. Read the Neutral Case and draft Rubric before scoring.</x:v>
      </x:c>
      <x:c r="B13" s="7"/>
      <x:c r="C13" s="7"/>
      <x:c r="D13" s="7"/>
      <x:c r="E13" s="7"/>
      <x:c r="F13" s="7"/>
      <x:c r="G13" s="7"/>
      <x:c r="H13" s="7"/>
    </x:row>
    <x:row r="14" ht="42" customHeight="1">
      <x:c r="A14" s="7" t="str">
        <x:v>2. Score all 25 examples independently. Do not discuss scores or view another rater's workbook until all three files are returned and hash-locked.</x:v>
      </x:c>
      <x:c r="B14" s="7"/>
      <x:c r="C14" s="7"/>
      <x:c r="D14" s="7"/>
      <x:c r="E14" s="7"/>
      <x:c r="F14" s="7"/>
      <x:c r="G14" s="7"/>
      <x:c r="H14" s="7"/>
    </x:row>
    <x:row r="15" ht="42" customHeight="1">
      <x:c r="A15" s="7" t="str">
        <x:v>3. Use integer scores from 1 to 5. Half-points are not permitted.</x:v>
      </x:c>
      <x:c r="B15" s="7"/>
      <x:c r="C15" s="7"/>
      <x:c r="D15" s="7"/>
      <x:c r="E15" s="7"/>
      <x:c r="F15" s="7"/>
      <x:c r="G15" s="7"/>
      <x:c r="H15" s="7"/>
    </x:row>
    <x:row r="16" ht="42" customHeight="1">
      <x:c r="A16" s="7" t="str">
        <x:v>4. Give a short rationale tied to the rubric anchor. Do not guess the intended answer from item order.</x:v>
      </x:c>
      <x:c r="B16" s="7"/>
      <x:c r="C16" s="7"/>
      <x:c r="D16" s="7"/>
      <x:c r="E16" s="7"/>
      <x:c r="F16" s="7"/>
      <x:c r="G16" s="7"/>
      <x:c r="H16" s="7"/>
    </x:row>
    <x:row r="17" ht="42" customHeight="1">
      <x:c r="A17" s="7" t="str">
        <x:v>5. Do not open or use any of the 486 study outputs during calibration.</x:v>
      </x:c>
      <x:c r="B17" s="7"/>
      <x:c r="C17" s="7"/>
      <x:c r="D17" s="7"/>
      <x:c r="E17" s="7"/>
      <x:c r="F17" s="7"/>
      <x:c r="G17" s="7"/>
      <x:c r="H17" s="7"/>
    </x:row>
    <x:row r="18" ht="42" customHeight="1">
      <x:c r="A18" s="7" t="str">
        <x:v>6. Return the completed workbook without renaming sheets or changing item IDs.</x:v>
      </x:c>
      <x:c r="B18" s="7"/>
      <x:c r="C18" s="7"/>
      <x:c r="D18" s="7"/>
      <x:c r="E18" s="7"/>
      <x:c r="F18" s="7"/>
      <x:c r="G18" s="7"/>
      <x:c r="H18" s="7"/>
    </x:row>
    <x:row r="20">
      <x:c r="A20" s="10" t="str">
        <x:v>Stop after independent scoring. The reconciliation workbook is used only after all three calibration files are locked.</x:v>
      </x:c>
      <x:c r="B20" s="10"/>
      <x:c r="C20" s="10"/>
      <x:c r="D20" s="10"/>
      <x:c r="E20" s="10"/>
      <x:c r="F20" s="10"/>
      <x:c r="G20" s="10"/>
      <x:c r="H20" s="10"/>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9" hidden="0" customWidth="1"/>
    <x:col min="3" max="3" width="90" hidden="0" customWidth="1"/>
    <x:col min="4" max="4" width="13" hidden="0" customWidth="1"/>
    <x:col min="5" max="5" width="65" hidden="0" customWidth="1"/>
    <x:col min="6" max="6" width="40" hidden="0" customWidth="1"/>
    <x:col min="7" max="7" width="18" hidden="0" customWidth="1"/>
  </x:cols>
  <x:sheetData>
    <x:row r="2">
      <x:c r="A2" s="1" t="str">
        <x:v>Independent calibration scores</x:v>
      </x:c>
      <x:c r="B2" s="1"/>
      <x:c r="C2" s="1"/>
      <x:c r="D2" s="1"/>
      <x:c r="E2" s="1"/>
      <x:c r="F2" s="1"/>
      <x:c r="G2" s="1"/>
    </x:row>
    <x:row r="3">
      <x:c r="A3" s="2"/>
      <x:c r="B3" s="2"/>
      <x:c r="C3" s="2"/>
      <x:c r="D3" s="2"/>
      <x:c r="E3" s="2"/>
      <x:c r="F3" s="2"/>
      <x:c r="G3" s="2"/>
    </x:row>
    <x:row r="4">
      <x:c r="A4" s="22" t="str">
        <x:v>Item ID</x:v>
      </x:c>
      <x:c r="B4" s="23" t="str">
        <x:v>Dimension</x:v>
      </x:c>
      <x:c r="C4" s="23" t="str">
        <x:v>Neutral example</x:v>
      </x:c>
      <x:c r="D4" s="23" t="str">
        <x:v>Score (1-5)</x:v>
      </x:c>
      <x:c r="E4" s="23" t="str">
        <x:v>Rationale</x:v>
      </x:c>
      <x:c r="F4" s="23" t="str">
        <x:v>Notes</x:v>
      </x:c>
      <x:c r="G4" s="24" t="str">
        <x:v>Status</x:v>
      </x:c>
    </x:row>
    <x:row r="5" ht="72" customHeight="1">
      <x:c r="A5" s="27" t="str">
        <x:v>NEUT-06DCA0B1</x:v>
      </x:c>
      <x:c r="B5" s="27" t="str">
        <x:v>Specificity</x:v>
      </x:c>
      <x:c r="C5" s="27" t="str">
        <x:v>Test valid, invalid, and edge-case files and verify integrations.</x:v>
      </x:c>
      <x:c r="D5" s="31" t="n">
        <x:v>2</x:v>
      </x:c>
      <x:c r="E5" s="29" t="str">
        <x:v>Score 2: The direction is generic; 'valid, invalid, edge-case' and 'verify integrations' require substantial interpretation before tests can be designed.</x:v>
      </x:c>
      <x:c r="F5" s="29"/>
      <x:c r="G5" s="27" t="str">
        <x:f>IF(COUNTA(D5:E5)=2,"Complete","Missing fields")</x:f>
        <x:v>Complete</x:v>
      </x:c>
    </x:row>
    <x:row r="6" ht="72" customHeight="1">
      <x:c r="A6" s="28" t="str">
        <x:v>NEUT-5FF01E1F</x:v>
      </x:c>
      <x:c r="B6" s="28" t="str">
        <x:v>Integration Awareness</x:v>
      </x:c>
      <x:c r="C6" s="28" t="str">
        <x:v>Covers scanner and object-store boundaries and user-visible results but omits one secondary timeout or retry consequence.</x:v>
      </x:c>
      <x:c r="D6" s="32" t="n">
        <x:v>4</x:v>
      </x:c>
      <x:c r="E6" s="30" t="str">
        <x:v>Score 4: Critical scanner and storage boundaries plus user-visible outcomes are covered; only a secondary timeout/retry consequence is omitted.</x:v>
      </x:c>
      <x:c r="F6" s="30"/>
      <x:c r="G6" s="28" t="str">
        <x:f>IF(COUNTA(D6:E6)=2,"Complete","Missing fields")</x:f>
        <x:v>Complete</x:v>
      </x:c>
    </x:row>
    <x:row r="7" ht="72" customHeight="1">
      <x:c r="A7" s="28" t="str">
        <x:v>NEUT-8B5C7BDD</x:v>
      </x:c>
      <x:c r="B7" s="28" t="str">
        <x:v>Clarification Flag Quality</x:v>
      </x:c>
      <x:c r="C7" s="28" t="str">
        <x:v>Supplies no flags despite unresolved scanner failure behavior, or asks wholly irrelevant questions.</x:v>
      </x:c>
      <x:c r="D7" s="32" t="n">
        <x:v>1</x:v>
      </x:c>
      <x:c r="E7" s="30" t="str">
        <x:v>Score 1: No useful clarification is raised despite a critical unresolved scanner-failure behavior.</x:v>
      </x:c>
      <x:c r="F7" s="30"/>
      <x:c r="G7" s="28" t="str">
        <x:f>IF(COUNTA(D7:E7)=2,"Complete","Missing fields")</x:f>
        <x:v>Complete</x:v>
      </x:c>
    </x:row>
    <x:row r="8" ht="72" customHeight="1">
      <x:c r="A8" s="28" t="str">
        <x:v>NEUT-81E68B60</x:v>
      </x:c>
      <x:c r="B8" s="28" t="str">
        <x:v>Risk Calibration</x:v>
      </x:c>
      <x:c r="C8" s="28" t="str">
        <x:v>Recommends no depth or an invalid value, or treats the change as requiring no testing despite its downstream path.</x:v>
      </x:c>
      <x:c r="D8" s="32" t="n">
        <x:v>1</x:v>
      </x:c>
      <x:c r="E8" s="30" t="str">
        <x:v>Score 1: The depth is absent/invalid or effectively recommends no testing, which is plainly incompatible with the agreed MEDIUM risk.</x:v>
      </x:c>
      <x:c r="F8" s="30"/>
      <x:c r="G8" s="28" t="str">
        <x:f>IF(COUNTA(D8:E8)=2,"Complete","Missing fields")</x:f>
        <x:v>Complete</x:v>
      </x:c>
    </x:row>
    <x:row r="9" ht="72" customHeight="1">
      <x:c r="A9" s="28" t="str">
        <x:v>NEUT-1A264F04</x:v>
      </x:c>
      <x:c r="B9" s="28" t="str">
        <x:v>Integration Awareness</x:v>
      </x:c>
      <x:c r="C9" s="28" t="str">
        <x:v>Verify that the upload integrates with backend services, without testing either side of a concrete boundary.</x:v>
      </x:c>
      <x:c r="D9" s="32" t="n">
        <x:v>2</x:v>
      </x:c>
      <x:c r="E9" s="30" t="str">
        <x:v>Score 2: From a practical test-planning perspective, it acknowledges backend integration but does not identify or test either side of a concrete boundary.</x:v>
      </x:c>
      <x:c r="F9" s="30"/>
      <x:c r="G9" s="28" t="str">
        <x:f>IF(COUNTA(D9:E9)=2,"Complete","Missing fields")</x:f>
        <x:v>Complete</x:v>
      </x:c>
    </x:row>
    <x:row r="10" ht="72" customHeight="1">
      <x:c r="A10" s="28" t="str">
        <x:v>NEUT-F0B24B52</x:v>
      </x:c>
      <x:c r="B10" s="28" t="str">
        <x:v>Completeness</x:v>
      </x:c>
      <x:c r="C10" s="28" t="str">
        <x:v>Covers all critical paths but omits one minor regression check, such as a representative file well below 10 MB.</x:v>
      </x:c>
      <x:c r="D10" s="32" t="n">
        <x:v>4</x:v>
      </x:c>
      <x:c r="E10" s="30" t="str">
        <x:v>Score 4: All critical paths are covered and only a narrowly bounded regression check below the old 10 MB limit is missing.</x:v>
      </x:c>
      <x:c r="F10" s="30"/>
      <x:c r="G10" s="28" t="str">
        <x:f>IF(COUNTA(D10:E10)=2,"Complete","Missing fields")</x:f>
        <x:v>Complete</x:v>
      </x:c>
    </x:row>
    <x:row r="11" ht="72" customHeight="1">
      <x:c r="A11" s="28" t="str">
        <x:v>NEUT-D01BB7AE</x:v>
      </x:c>
      <x:c r="B11" s="28" t="str">
        <x:v>Clarification Flag Quality</x:v>
      </x:c>
      <x:c r="C11" s="28" t="str">
        <x:v>Asks who owns the feature and whether documentation exists while material ambiguity remains.</x:v>
      </x:c>
      <x:c r="D11" s="32" t="n">
        <x:v>2</x:v>
      </x:c>
      <x:c r="E11" s="30" t="str">
        <x:v>Score 2: The questions are generic and low-impact while the material timeout and scanner-unavailable ambiguities remain unresolved.</x:v>
      </x:c>
      <x:c r="F11" s="30"/>
      <x:c r="G11" s="28" t="str">
        <x:f>IF(COUNTA(D11:E11)=2,"Complete","Missing fields")</x:f>
        <x:v>Complete</x:v>
      </x:c>
    </x:row>
    <x:row r="12" ht="72" customHeight="1">
      <x:c r="A12" s="28" t="str">
        <x:v>NEUT-83E2C89C</x:v>
      </x:c>
      <x:c r="B12" s="28" t="str">
        <x:v>Specificity</x:v>
      </x:c>
      <x:c r="C12" s="28" t="str">
        <x:v>Upload 24.99 MB, 25.00 MB, and 25.01 MB PDF and DOCX files; verify the first two reach scanning and storage and the last is rejected with the documented size-limit message.</x:v>
      </x:c>
      <x:c r="D12" s="32" t="n">
        <x:v>5</x:v>
      </x:c>
      <x:c r="E12" s="30" t="str">
        <x:v>Score 5: From a practical test-planning perspective, it specifies exact inputs, both formats, concrete boundary values, downstream scanner/storage behavior, and a clear rejection outcome.</x:v>
      </x:c>
      <x:c r="F12" s="30"/>
      <x:c r="G12" s="28" t="str">
        <x:f>IF(COUNTA(D12:E12)=2,"Complete","Missing fields")</x:f>
        <x:v>Complete</x:v>
      </x:c>
    </x:row>
    <x:row r="13" ht="72" customHeight="1">
      <x:c r="A13" s="28" t="str">
        <x:v>NEUT-1C41FCDE</x:v>
      </x:c>
      <x:c r="B13" s="28" t="str">
        <x:v>Specificity</x:v>
      </x:c>
      <x:c r="C13" s="28" t="str">
        <x:v>Test just below, at, and above 25 MB for both formats and verify correct behavior.</x:v>
      </x:c>
      <x:c r="D13" s="32" t="n">
        <x:v>3</x:v>
      </x:c>
      <x:c r="E13" s="30" t="str">
        <x:v>Score 3: The key boundary pattern and both formats are identified, but exact values, downstream states, and observable outcomes are not consistently specified.</x:v>
      </x:c>
      <x:c r="F13" s="30"/>
      <x:c r="G13" s="28" t="str">
        <x:f>IF(COUNTA(D13:E13)=2,"Complete","Missing fields")</x:f>
        <x:v>Complete</x:v>
      </x:c>
    </x:row>
    <x:row r="14" ht="72" customHeight="1">
      <x:c r="A14" s="28" t="str">
        <x:v>NEUT-564D8782</x:v>
      </x:c>
      <x:c r="B14" s="28" t="str">
        <x:v>Completeness</x:v>
      </x:c>
      <x:c r="C14" s="28" t="str">
        <x:v>Tests only successful 25 MB PDF upload and a file above 25 MB. Critical DOCX and antivirus/storage behavior are absent.</x:v>
      </x:c>
      <x:c r="D14" s="32" t="n">
        <x:v>2</x:v>
      </x:c>
      <x:c r="E14" s="30" t="str">
        <x:v>Score 2: From a practical test-planning perspective, it exercises part of the size-limit behavior, but omits a critical file type and the antivirus/storage path, leaving substantial coverage gaps.</x:v>
      </x:c>
      <x:c r="F14" s="30"/>
      <x:c r="G14" s="28" t="str">
        <x:f>IF(COUNTA(D14:E14)=2,"Complete","Missing fields")</x:f>
        <x:v>Complete</x:v>
      </x:c>
    </x:row>
    <x:row r="15" ht="72" customHeight="1">
      <x:c r="A15" s="28" t="str">
        <x:v>NEUT-8A55868D</x:v>
      </x:c>
      <x:c r="B15" s="28" t="str">
        <x:v>Completeness</x:v>
      </x:c>
      <x:c r="C15" s="28" t="str">
        <x:v>Says only to test document upload thoroughly, without identifying the changed limit or the core success and rejection behaviors.</x:v>
      </x:c>
      <x:c r="D15" s="32" t="n">
        <x:v>1</x:v>
      </x:c>
      <x:c r="E15" s="30" t="str">
        <x:v>Score 1: The statement is too vague to cover the changed size limit or the essential success and rejection behavior.</x:v>
      </x:c>
      <x:c r="F15" s="30"/>
      <x:c r="G15" s="28" t="str">
        <x:f>IF(COUNTA(D15:E15)=2,"Complete","Missing fields")</x:f>
        <x:v>Complete</x:v>
      </x:c>
    </x:row>
    <x:row r="16" ht="72" customHeight="1">
      <x:c r="A16" s="28" t="str">
        <x:v>NEUT-52917430</x:v>
      </x:c>
      <x:c r="B16" s="28" t="str">
        <x:v>Risk Calibration</x:v>
      </x:c>
      <x:c r="C16" s="28" t="str">
        <x:v>Recommends MEDIUM with a sound but generic explanation that the change affects upload validation and connected services.</x:v>
      </x:c>
      <x:c r="D16" s="32" t="n">
        <x:v>4</x:v>
      </x:c>
      <x:c r="E16" s="30" t="str">
        <x:v>Score 4: MEDIUM matches consensus and the justification is sound, but it remains generic about the specific failure risks and breadth.</x:v>
      </x:c>
      <x:c r="F16" s="30"/>
      <x:c r="G16" s="28" t="str">
        <x:f>IF(COUNTA(D16:E16)=2,"Complete","Missing fields")</x:f>
        <x:v>Complete</x:v>
      </x:c>
    </x:row>
    <x:row r="17" ht="72" customHeight="1">
      <x:c r="A17" s="28" t="str">
        <x:v>NEUT-D125AD2F</x:v>
      </x:c>
      <x:c r="B17" s="28" t="str">
        <x:v>Integration Awareness</x:v>
      </x:c>
      <x:c r="C17" s="28" t="str">
        <x:v>Omits the scanner and storage path or invents an unrelated payment service as the primary integration.</x:v>
      </x:c>
      <x:c r="D17" s="32" t="n">
        <x:v>1</x:v>
      </x:c>
      <x:c r="E17" s="30" t="str">
        <x:v>Score 1: The real scanner and object-store boundaries are absent or replaced with an unrelated integration, so the actual integration path is not covered.</x:v>
      </x:c>
      <x:c r="F17" s="30"/>
      <x:c r="G17" s="28" t="str">
        <x:f>IF(COUNTA(D17:E17)=2,"Complete","Missing fields")</x:f>
        <x:v>Complete</x:v>
      </x:c>
    </x:row>
    <x:row r="18" ht="72" customHeight="1">
      <x:c r="A18" s="28" t="str">
        <x:v>NEUT-BF48EC9E</x:v>
      </x:c>
      <x:c r="B18" s="28" t="str">
        <x:v>Specificity</x:v>
      </x:c>
      <x:c r="C18" s="28" t="str">
        <x:v>Perform functional, regression, and integration testing.</x:v>
      </x:c>
      <x:c r="D18" s="32" t="n">
        <x:v>1</x:v>
      </x:c>
      <x:c r="E18" s="30" t="str">
        <x:v>Score 1: These are only test-category labels and provide no concrete inputs, system states, boundaries, or expected results.</x:v>
      </x:c>
      <x:c r="F18" s="30"/>
      <x:c r="G18" s="28" t="str">
        <x:f>IF(COUNTA(D18:E18)=2,"Complete","Missing fields")</x:f>
        <x:v>Complete</x:v>
      </x:c>
    </x:row>
    <x:row r="19" ht="72" customHeight="1">
      <x:c r="A19" s="28" t="str">
        <x:v>NEUT-78AE84D2</x:v>
      </x:c>
      <x:c r="B19" s="28" t="str">
        <x:v>Integration Awareness</x:v>
      </x:c>
      <x:c r="C19" s="28" t="str">
        <x:v>Covers the normal scanner-to-storage path but omits scanner outage or failure propagation.</x:v>
      </x:c>
      <x:c r="D19" s="32" t="n">
        <x:v>3</x:v>
      </x:c>
      <x:c r="E19" s="30" t="str">
        <x:v>Score 3: The main scanner-to-storage path is covered, but a material failure path—scanner outage/failure propagation—is missing.</x:v>
      </x:c>
      <x:c r="F19" s="30"/>
      <x:c r="G19" s="28" t="str">
        <x:f>IF(COUNTA(D19:E19)=2,"Complete","Missing fields")</x:f>
        <x:v>Complete</x:v>
      </x:c>
    </x:row>
    <x:row r="20" ht="72" customHeight="1">
      <x:c r="A20" s="28" t="str">
        <x:v>NEUT-6D051013</x:v>
      </x:c>
      <x:c r="B20" s="28" t="str">
        <x:v>Risk Calibration</x:v>
      </x:c>
      <x:c r="C20" s="28" t="str">
        <x:v>Recommends HIGH because of malware and storage risk. The one-level increase is defensible, but broader regression is not clearly warranted.</x:v>
      </x:c>
      <x:c r="D20" s="32" t="n">
        <x:v>3</x:v>
      </x:c>
      <x:c r="E20" s="30" t="str">
        <x:v>Score 3: HIGH differs from consensus by one level, but the malware/storage concern makes the increase reasonably defensible even though the breadth is overstated.</x:v>
      </x:c>
      <x:c r="F20" s="30"/>
      <x:c r="G20" s="28" t="str">
        <x:f>IF(COUNTA(D20:E20)=2,"Complete","Missing fields")</x:f>
        <x:v>Complete</x:v>
      </x:c>
    </x:row>
    <x:row r="21" ht="72" customHeight="1">
      <x:c r="A21" s="28" t="str">
        <x:v>NEUT-BE87554C</x:v>
      </x:c>
      <x:c r="B21" s="28" t="str">
        <x:v>Risk Calibration</x:v>
      </x:c>
      <x:c r="C21" s="28" t="str">
        <x:v>Recommends MEDIUM and explains that a bounded configuration change affects validation plus two downstream services and failure handling.</x:v>
      </x:c>
      <x:c r="D21" s="32" t="n">
        <x:v>5</x:v>
      </x:c>
      <x:c r="E21" s="30" t="str">
        <x:v>Score 5: MEDIUM matches consensus and the rationale accurately connects the bounded validation change to two downstream services and failure handling.</x:v>
      </x:c>
      <x:c r="F21" s="30"/>
      <x:c r="G21" s="28" t="str">
        <x:f>IF(COUNTA(D21:E21)=2,"Complete","Missing fields")</x:f>
        <x:v>Complete</x:v>
      </x:c>
    </x:row>
    <x:row r="22" ht="72" customHeight="1">
      <x:c r="A22" s="28" t="str">
        <x:v>NEUT-7FE673E1</x:v>
      </x:c>
      <x:c r="B22" s="28" t="str">
        <x:v>Integration Awareness</x:v>
      </x:c>
      <x:c r="C22" s="28" t="str">
        <x:v>Tests portal-to-scanner handoff, scanner result return, portal-to-object-store persistence, failures at each boundary, and the user-visible final state.</x:v>
      </x:c>
      <x:c r="D22" s="32" t="n">
        <x:v>5</x:v>
      </x:c>
      <x:c r="E22" s="30" t="str">
        <x:v>Score 5: From a practical test-planning perspective, it tests every critical boundary, return path, persistence step, failure behavior, and the final user-visible state.</x:v>
      </x:c>
      <x:c r="F22" s="30"/>
      <x:c r="G22" s="28" t="str">
        <x:f>IF(COUNTA(D22:E22)=2,"Complete","Missing fields")</x:f>
        <x:v>Complete</x:v>
      </x:c>
    </x:row>
    <x:row r="23" ht="72" customHeight="1">
      <x:c r="A23" s="28" t="str">
        <x:v>NEUT-FE456814</x:v>
      </x:c>
      <x:c r="B23" s="28" t="str">
        <x:v>Clarification Flag Quality</x:v>
      </x:c>
      <x:c r="C23" s="28" t="str">
        <x:v>Asks for the exact timeout/retry behavior and the required user/system outcome when antivirus scanning is unavailable.</x:v>
      </x:c>
      <x:c r="D23" s="32" t="n">
        <x:v>5</x:v>
      </x:c>
      <x:c r="E23" s="30" t="str">
        <x:v>Score 5: From a practical test-planning perspective, it directly asks for the timeout/retry rule and the required outcome when antivirus scanning is unavailable, covering the material ambiguities precisely.</x:v>
      </x:c>
      <x:c r="F23" s="30"/>
      <x:c r="G23" s="28" t="str">
        <x:f>IF(COUNTA(D23:E23)=2,"Complete","Missing fields")</x:f>
        <x:v>Complete</x:v>
      </x:c>
    </x:row>
    <x:row r="24" ht="72" customHeight="1">
      <x:c r="A24" s="28" t="str">
        <x:v>NEUT-9030CD8F</x:v>
      </x:c>
      <x:c r="B24" s="28" t="str">
        <x:v>Specificity</x:v>
      </x:c>
      <x:c r="C24" s="28" t="str">
        <x:v>Test exact boundary values for both formats and verify accept/reject results, but do not specify how storage success will be observed.</x:v>
      </x:c>
      <x:c r="D24" s="32" t="n">
        <x:v>4</x:v>
      </x:c>
      <x:c r="E24" s="30" t="str">
        <x:v>Score 4: Exact boundary values and accept/reject outcomes make the test actionable, with only a minor observability gap around proving storage success.</x:v>
      </x:c>
      <x:c r="F24" s="30"/>
      <x:c r="G24" s="28" t="str">
        <x:f>IF(COUNTA(D24:E24)=2,"Complete","Missing fields")</x:f>
        <x:v>Complete</x:v>
      </x:c>
    </x:row>
    <x:row r="25" ht="72" customHeight="1">
      <x:c r="A25" s="28" t="str">
        <x:v>NEUT-8BE6CB97</x:v>
      </x:c>
      <x:c r="B25" s="28" t="str">
        <x:v>Clarification Flag Quality</x:v>
      </x:c>
      <x:c r="C25" s="28" t="str">
        <x:v>Asks what happens when scanning fails but omits timeout/retry behavior and adds one low-value generic question.</x:v>
      </x:c>
      <x:c r="D25" s="32" t="n">
        <x:v>3</x:v>
      </x:c>
      <x:c r="E25" s="30" t="str">
        <x:v>Score 3: From a practical test-planning perspective, it raises one useful scanner-failure question, but misses timeout/retry behavior and includes a low-value generic question.</x:v>
      </x:c>
      <x:c r="F25" s="30"/>
      <x:c r="G25" s="28" t="str">
        <x:f>IF(COUNTA(D25:E25)=2,"Complete","Missing fields")</x:f>
        <x:v>Complete</x:v>
      </x:c>
    </x:row>
    <x:row r="26" ht="72" customHeight="1">
      <x:c r="A26" s="28" t="str">
        <x:v>NEUT-B7B66914</x:v>
      </x:c>
      <x:c r="B26" s="28" t="str">
        <x:v>Completeness</x:v>
      </x:c>
      <x:c r="C26" s="28" t="str">
        <x:v>Covers both formats, all size boundaries, success/failure messages, scanner and storage paths, failure handling, regression below 10 MB, and both material clarification needs.</x:v>
      </x:c>
      <x:c r="D26" s="32" t="n">
        <x:v>5</x:v>
      </x:c>
      <x:c r="E26" s="30" t="str">
        <x:v>Score 5: From a practical test-planning perspective, it covers all critical and important consensus elements, including formats, boundaries, messaging, integrations, failure handling, regression, and clarification needs.</x:v>
      </x:c>
      <x:c r="F26" s="30"/>
      <x:c r="G26" s="28" t="str">
        <x:f>IF(COUNTA(D26:E26)=2,"Complete","Missing fields")</x:f>
        <x:v>Complete</x:v>
      </x:c>
    </x:row>
    <x:row r="27" ht="72" customHeight="1">
      <x:c r="A27" s="28" t="str">
        <x:v>NEUT-73892CED</x:v>
      </x:c>
      <x:c r="B27" s="28" t="str">
        <x:v>Completeness</x:v>
      </x:c>
      <x:c r="C27" s="28" t="str">
        <x:v>Covers valid uploads and the 25 MB boundary but omits scanner-unavailable behavior and one secondary regression area. The core is usable with supplementation.</x:v>
      </x:c>
      <x:c r="D27" s="32" t="n">
        <x:v>3</x:v>
      </x:c>
      <x:c r="E27" s="30" t="str">
        <x:v>Score 3: The core upload and boundary behavior is usable, but an important scanner-unavailable case and a secondary regression area still need supplementation.</x:v>
      </x:c>
      <x:c r="F27" s="30"/>
      <x:c r="G27" s="28" t="str">
        <x:f>IF(COUNTA(D27:E27)=2,"Complete","Missing fields")</x:f>
        <x:v>Complete</x:v>
      </x:c>
    </x:row>
    <x:row r="28" ht="72" customHeight="1">
      <x:c r="A28" s="28" t="str">
        <x:v>NEUT-08488A5F</x:v>
      </x:c>
      <x:c r="B28" s="28" t="str">
        <x:v>Clarification Flag Quality</x:v>
      </x:c>
      <x:c r="C28" s="28" t="str">
        <x:v>Asks both material questions, but one is worded broadly and needs a small follow-up.</x:v>
      </x:c>
      <x:c r="D28" s="32" t="n">
        <x:v>4</x:v>
      </x:c>
      <x:c r="E28" s="30" t="str">
        <x:v>Score 4: Both material ambiguity areas are recognized, but one question is broad enough to require a small follow-up.</x:v>
      </x:c>
      <x:c r="F28" s="30"/>
      <x:c r="G28" s="28" t="str">
        <x:f>IF(COUNTA(D28:E28)=2,"Complete","Missing fields")</x:f>
        <x:v>Complete</x:v>
      </x:c>
    </x:row>
    <x:row r="29" ht="72" customHeight="1">
      <x:c r="A29" s="28" t="str">
        <x:v>NEUT-71333023</x:v>
      </x:c>
      <x:c r="B29" s="28" t="str">
        <x:v>Risk Calibration</x:v>
      </x:c>
      <x:c r="C29" s="28" t="str">
        <x:v>Recommends LOW because only one number changed, ignoring the scanner and storage path.</x:v>
      </x:c>
      <x:c r="D29" s="32" t="n">
        <x:v>2</x:v>
      </x:c>
      <x:c r="E29" s="30" t="str">
        <x:v>Score 2: LOW is one level below consensus without a sound justification because it ignores the antivirus and storage dependencies.</x:v>
      </x:c>
      <x:c r="F29" s="30"/>
      <x:c r="G29" s="28" t="str">
        <x:f>IF(COUNTA(D29:E29)=2,"Complete","Missing fields")</x:f>
        <x:v>Complete</x:v>
      </x:c>
    </x:row>
  </x:sheetData>
  <x:dataValidations count="1">
    <x:dataValidation type="list" sqref="D5:D29">
      <x:formula1>"1,2,3,4,5"</x:formula1>
    </x:dataValidation>
  </x:dataValidations>
  <x:pageMargins left="0.7" right="0.7" top="0.75" bottom="0.75" header="0.3" footer="0.3"/>
</x:worksheet>
</file>

<file path=xl/worksheets/sheet3.xml><?xml version="1.0" encoding="utf-8"?>
<x:worksheet xmlns:x="http://schemas.openxmlformats.org/spreadsheetml/2006/main">
  <x:sheetPr>
    <x:tabColor rgb="FFEAF2F8"/>
  </x:sheetPr>
  <x:sheetViews>
    <x:sheetView showGridLines="0" workbookViewId="0"/>
  </x:sheetViews>
  <x:sheetFormatPr defaultRowHeight="15"/>
  <x:cols>
    <x:col min="1" max="1" width="24" hidden="0" customWidth="1"/>
    <x:col min="2" max="2" width="110" hidden="0" customWidth="1"/>
  </x:cols>
  <x:sheetData>
    <x:row r="2">
      <x:c r="A2" s="1" t="str">
        <x:v>Neutral calibration case</x:v>
      </x:c>
      <x:c r="B2" s="1"/>
      <x:c r="C2" s="1"/>
      <x:c r="D2" s="1"/>
      <x:c r="E2" s="1"/>
      <x:c r="F2" s="1"/>
      <x:c r="G2" s="1"/>
      <x:c r="H2" s="1"/>
    </x:row>
    <x:row r="3">
      <x:c r="A3" s="2"/>
      <x:c r="B3" s="2"/>
      <x:c r="C3" s="2"/>
      <x:c r="D3" s="2"/>
      <x:c r="E3" s="2"/>
      <x:c r="F3" s="2"/>
      <x:c r="G3" s="2"/>
      <x:c r="H3" s="2"/>
    </x:row>
    <x:row r="5" ht="90" customHeight="1">
      <x:c r="A5" s="35" t="str">
        <x:v>Specification</x:v>
      </x:c>
      <x:c r="B5" s="27" t="str">
        <x:v>A document portal is increasing its maximum upload size from 10 MB to 25 MB. It accepts PDF and DOCX files. Uploaded files pass through antivirus scanning and are then stored in a cloud object store. The user sees a success or failure message. No acceptance criteria specify boundary behavior, timeouts, or what should happen when antivirus scanning is unavailable.</x:v>
      </x:c>
    </x:row>
    <x:row r="6" ht="90" customHeight="1">
      <x:c r="A6" s="36" t="str">
        <x:v>Agreed reference</x:v>
      </x:c>
      <x:c r="B6" s="28" t="str">
        <x:v>MEDIUM depth. Essential scope includes the 10/25 MB boundaries, both file types, unchanged rejection above the limit, upload success/failure messaging, antivirus handoff and failure behavior, storage persistence, regression below 10 MB, and clarification of timeout and scanner-unavailable behavior.</x:v>
      </x:c>
    </x:row>
    <x:row r="7" ht="90" customHeight="1">
      <x:c r="A7" s="36" t="str">
        <x:v>Study-output exclusion</x:v>
      </x:c>
      <x:c r="B7" s="28" t="str">
        <x:v>This case is not one of the 18 study specifications and none of its examples is among the 486 study outputs.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9" hidden="0" customWidth="1"/>
    <x:col min="3" max="3" width="105" hidden="0" customWidth="1"/>
  </x:cols>
  <x:sheetData>
    <x:row r="2">
      <x:c r="A2" s="1" t="str">
        <x:v>Draft scoring anchors</x:v>
      </x:c>
      <x:c r="B2" s="1"/>
      <x:c r="C2" s="1"/>
      <x:c r="D2" s="1"/>
    </x:row>
    <x:row r="3">
      <x:c r="A3" s="2"/>
      <x:c r="B3" s="2"/>
      <x:c r="C3" s="2"/>
      <x:c r="D3" s="2"/>
    </x:row>
    <x:row r="4">
      <x:c r="A4" s="22" t="str">
        <x:v>Dimension</x:v>
      </x:c>
      <x:c r="B4" s="23" t="str">
        <x:v>Score</x:v>
      </x:c>
      <x:c r="C4" s="24" t="str">
        <x:v>Anchor</x:v>
      </x:c>
    </x:row>
    <x:row r="5" ht="54" customHeight="1">
      <x:c r="A5" s="27" t="str">
        <x:v>Completeness</x:v>
      </x:c>
      <x:c r="B5" s="37" t="n">
        <x:v>1</x:v>
      </x:c>
      <x:c r="C5" s="27" t="str">
        <x:v>Misses the core changed behavior or most relevant test types. The proposed scope is fundamentally inadequate or largely unrelated.</x:v>
      </x:c>
    </x:row>
    <x:row r="6" ht="54" customHeight="1">
      <x:c r="A6" s="28" t="str">
        <x:v>Completeness</x:v>
      </x:c>
      <x:c r="B6" s="38" t="n">
        <x:v>2</x:v>
      </x:c>
      <x:c r="C6" s="28" t="str">
        <x:v>Misses a critical element or multiple important areas. The plan would create a meaningful coverage risk without substantial additions.</x:v>
      </x:c>
    </x:row>
    <x:row r="7" ht="54" customHeight="1">
      <x:c r="A7" s="28" t="str">
        <x:v>Completeness</x:v>
      </x:c>
      <x:c r="B7" s="38" t="n">
        <x:v>3</x:v>
      </x:c>
      <x:c r="C7" s="28" t="str">
        <x:v>Covers the core changed behavior and the main test type, but misses one important secondary area or several minor elements. The plan remains usable with supplementation.</x:v>
      </x:c>
    </x:row>
    <x:row r="8" ht="54" customHeight="1">
      <x:c r="A8" s="28" t="str">
        <x:v>Completeness</x:v>
      </x:c>
      <x:c r="B8" s="38" t="n">
        <x:v>4</x:v>
      </x:c>
      <x:c r="C8" s="28" t="str">
        <x:v>Covers every critical element and nearly all important elements. At most one minor or narrowly bounded gap remains.</x:v>
      </x:c>
    </x:row>
    <x:row r="9" ht="54" customHeight="1">
      <x:c r="A9" s="28" t="str">
        <x:v>Completeness</x:v>
      </x:c>
      <x:c r="B9" s="38" t="n">
        <x:v>5</x:v>
      </x:c>
      <x:c r="C9" s="28" t="str">
        <x:v>Covers every critical and important consensus element across all relevant test types. No material gap remains.</x:v>
      </x:c>
    </x:row>
    <x:row r="10" ht="54" customHeight="1">
      <x:c r="A10" s="28" t="str">
        <x:v>Specificity</x:v>
      </x:c>
      <x:c r="B10" s="38" t="n">
        <x:v>1</x:v>
      </x:c>
      <x:c r="C10" s="28" t="str">
        <x:v>The content is predominantly boilerplate, tautological, internally incoherent, or too vague to guide test design.</x:v>
      </x:c>
    </x:row>
    <x:row r="11" ht="54" customHeight="1">
      <x:c r="A11" s="28" t="str">
        <x:v>Specificity</x:v>
      </x:c>
      <x:c r="B11" s="38" t="n">
        <x:v>2</x:v>
      </x:c>
      <x:c r="C11" s="28" t="str">
        <x:v>Most items are category labels or generic directives such as test edge cases or verify integration. Significant interpretation is needed before execution.</x:v>
      </x:c>
    </x:row>
    <x:row r="12" ht="54" customHeight="1">
      <x:c r="A12" s="28" t="str">
        <x:v>Specificity</x:v>
      </x:c>
      <x:c r="B12" s="38" t="n">
        <x:v>3</x:v>
      </x:c>
      <x:c r="C12" s="28" t="str">
        <x:v>The core items are understandable, but concrete inputs, boundaries, system states, or expected results are inconsistently supplied. Moderate interpretation is needed.</x:v>
      </x:c>
    </x:row>
    <x:row r="13" ht="54" customHeight="1">
      <x:c r="A13" s="28" t="str">
        <x:v>Specificity</x:v>
      </x:c>
      <x:c r="B13" s="38" t="n">
        <x:v>4</x:v>
      </x:c>
      <x:c r="C13" s="28" t="str">
        <x:v>The recommendation is actionable overall. Most material items contain concrete scenarios and outcomes, with only minor vagueness or a few generic supporting items.</x:v>
      </x:c>
    </x:row>
    <x:row r="14" ht="54" customHeight="1">
      <x:c r="A14" s="28" t="str">
        <x:v>Specificity</x:v>
      </x:c>
      <x:c r="B14" s="38" t="n">
        <x:v>5</x:v>
      </x:c>
      <x:c r="C14" s="28" t="str">
        <x:v>Nearly every material item identifies a concrete behavior or scenario, relevant context or boundary, and an observable expected result. Minimal interpretation is needed.</x:v>
      </x:c>
    </x:row>
    <x:row r="15" ht="54" customHeight="1">
      <x:c r="A15" s="28" t="str">
        <x:v>Risk Calibration</x:v>
      </x:c>
      <x:c r="B15" s="38" t="n">
        <x:v>1</x:v>
      </x:c>
      <x:c r="C15" s="28" t="str">
        <x:v>Depth differs by two levels, is absent or invalid, or is plainly incompatible with the scale and the change's risk.</x:v>
      </x:c>
    </x:row>
    <x:row r="16" ht="54" customHeight="1">
      <x:c r="A16" s="28" t="str">
        <x:v>Risk Calibration</x:v>
      </x:c>
      <x:c r="B16" s="38" t="n">
        <x:v>2</x:v>
      </x:c>
      <x:c r="C16" s="28" t="str">
        <x:v>Depth differs by one level without a sound case, or matches only superficially while the justification materially misreads the risk.</x:v>
      </x:c>
    </x:row>
    <x:row r="17" ht="54" customHeight="1">
      <x:c r="A17" s="28" t="str">
        <x:v>Risk Calibration</x:v>
      </x:c>
      <x:c r="B17" s="38" t="n">
        <x:v>3</x:v>
      </x:c>
      <x:c r="C17" s="28" t="str">
        <x:v>Depth differs by one level but is reasonably defensible from recorded ambiguity, or matches while the justification is materially weak or partly contradictory.</x:v>
      </x:c>
    </x:row>
    <x:row r="18" ht="54" customHeight="1">
      <x:c r="A18" s="28" t="str">
        <x:v>Risk Calibration</x:v>
      </x:c>
      <x:c r="B18" s="38" t="n">
        <x:v>4</x:v>
      </x:c>
      <x:c r="C18" s="28" t="str">
        <x:v>Depth exactly matches consensus and the justification is sound but incomplete or somewhat generic.</x:v>
      </x:c>
    </x:row>
    <x:row r="19" ht="54" customHeight="1">
      <x:c r="A19" s="28" t="str">
        <x:v>Risk Calibration</x:v>
      </x:c>
      <x:c r="B19" s="38" t="n">
        <x:v>5</x:v>
      </x:c>
      <x:c r="C19" s="28" t="str">
        <x:v>Depth exactly matches consensus and the justification accurately connects change type, impact, breadth, and material failure risks.</x:v>
      </x:c>
    </x:row>
    <x:row r="20" ht="54" customHeight="1">
      <x:c r="A20" s="28" t="str">
        <x:v>Integration Awareness</x:v>
      </x:c>
      <x:c r="B20" s="38" t="n">
        <x:v>1</x:v>
      </x:c>
      <x:c r="C20" s="28" t="str">
        <x:v>Integration considerations are absent, substantially incorrect, or replaced by invented systems that obscure the actual boundary.</x:v>
      </x:c>
    </x:row>
    <x:row r="21" ht="54" customHeight="1">
      <x:c r="A21" s="28" t="str">
        <x:v>Integration Awareness</x:v>
      </x:c>
      <x:c r="B21" s="38" t="n">
        <x:v>2</x:v>
      </x:c>
      <x:c r="C21" s="28" t="str">
        <x:v>Mentions integration only at a surface level, tests one side of the boundary, or misses a critical dependency.</x:v>
      </x:c>
    </x:row>
    <x:row r="22" ht="54" customHeight="1">
      <x:c r="A22" s="28" t="str">
        <x:v>Integration Awareness</x:v>
      </x:c>
      <x:c r="B22" s="38" t="n">
        <x:v>3</x:v>
      </x:c>
      <x:c r="C22" s="28" t="str">
        <x:v>Covers the main end-to-end path but misses an important secondary dependency, failure path, or downstream effect.</x:v>
      </x:c>
    </x:row>
    <x:row r="23" ht="54" customHeight="1">
      <x:c r="A23" s="28" t="str">
        <x:v>Integration Awareness</x:v>
      </x:c>
      <x:c r="B23" s="38" t="n">
        <x:v>4</x:v>
      </x:c>
      <x:c r="C23" s="28" t="str">
        <x:v>Covers every critical boundary and most important dependencies, with at most one minor touchpoint or consequence omitted.</x:v>
      </x:c>
    </x:row>
    <x:row r="24" ht="54" customHeight="1">
      <x:c r="A24" s="28" t="str">
        <x:v>Integration Awareness</x:v>
      </x:c>
      <x:c r="B24" s="38" t="n">
        <x:v>5</x:v>
      </x:c>
      <x:c r="C24" s="28" t="str">
        <x:v>Identifies every critical and important consensus integration boundary and states how behavior or data should be checked across each one.</x:v>
      </x:c>
    </x:row>
    <x:row r="25" ht="54" customHeight="1">
      <x:c r="A25" s="28" t="str">
        <x:v>Clarification Flag Quality</x:v>
      </x:c>
      <x:c r="B25" s="38" t="n">
        <x:v>1</x:v>
      </x:c>
      <x:c r="C25" s="28" t="str">
        <x:v>Provides no useful question despite a critical ambiguity, or the flags are wholly irrelevant, fabricated, or boilerplate.</x:v>
      </x:c>
    </x:row>
    <x:row r="26" ht="54" customHeight="1">
      <x:c r="A26" s="28" t="str">
        <x:v>Clarification Flag Quality</x:v>
      </x:c>
      <x:c r="B26" s="38" t="n">
        <x:v>2</x:v>
      </x:c>
      <x:c r="C26" s="28" t="str">
        <x:v>Questions are mostly generic, already answered, or low-impact; or a material ambiguity is left unflagged.</x:v>
      </x:c>
    </x:row>
    <x:row r="27" ht="54" customHeight="1">
      <x:c r="A27" s="28" t="str">
        <x:v>Clarification Flag Quality</x:v>
      </x:c>
      <x:c r="B27" s="38" t="n">
        <x:v>3</x:v>
      </x:c>
      <x:c r="C27" s="28" t="str">
        <x:v>Includes at least one useful question but mixes it with generic items, or misses another important ambiguity.</x:v>
      </x:c>
    </x:row>
    <x:row r="28" ht="54" customHeight="1">
      <x:c r="A28" s="28" t="str">
        <x:v>Clarification Flag Quality</x:v>
      </x:c>
      <x:c r="B28" s="38" t="n">
        <x:v>4</x:v>
      </x:c>
      <x:c r="C28" s="28" t="str">
        <x:v>Captures the most important ambiguities. One minor question is missing, vague, or low-value.</x:v>
      </x:c>
    </x:row>
    <x:row r="29" ht="54" customHeight="1">
      <x:c r="A29" s="28" t="str">
        <x:v>Clarification Flag Quality</x:v>
      </x:c>
      <x:c r="B29" s="38" t="n">
        <x:v>5</x:v>
      </x:c>
      <x:c r="C29" s="28" t="str">
        <x:v>Captures all material consensus ambiguities with targeted, actionable questions and no distracting boilerplate.</x:v>
      </x:c>
    </x:row>
  </x:sheetData>
  <x:pageMargins left="0.7" right="0.7" top="0.75" bottom="0.75" header="0.3" footer="0.3"/>
</x:worksheet>
</file>