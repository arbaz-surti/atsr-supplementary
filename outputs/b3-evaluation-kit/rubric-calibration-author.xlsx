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3c8f68965c4481" /></Relationships>
</file>

<file path=xl/workbook.xml><?xml version="1.0" encoding="utf-8"?>
<x:workbook xmlns:x="http://schemas.openxmlformats.org/spreadsheetml/2006/main">
  <x:sheets>
    <x:sheet xmlns:r="http://schemas.openxmlformats.org/officeDocument/2006/relationships" name="Read First" sheetId="1" r:id="R83f0e5e9685b4b00"/>
    <x:sheet xmlns:r="http://schemas.openxmlformats.org/officeDocument/2006/relationships" name="Calibration" sheetId="2" r:id="R9f8aece4ced34600"/>
    <x:sheet xmlns:r="http://schemas.openxmlformats.org/officeDocument/2006/relationships" name="Neutral Case" sheetId="3" r:id="Rc88b3d8d1f0d4032"/>
    <x:sheet xmlns:r="http://schemas.openxmlformats.org/officeDocument/2006/relationships" name="Rubric" sheetId="4" r:id="Rcc40fdcfd4b94a5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b/>
      <x:sz val="10"/>
      <x:color rgb="FFFFFFFF"/>
      <x:name val="Arial"/>
    </x:font>
  </x:fonts>
  <x:fills count="5">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3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4" borderId="0" xfId="0" applyNumberFormat="1" applyFont="1" applyFill="1" applyBorder="1"/>
    <x:xf numFmtId="0" fontId="6" fillId="4" borderId="0" xfId="0" applyNumberFormat="1" applyFont="1" applyFill="1" applyBorder="1"/>
    <x:xf numFmtId="0" fontId="6" fillId="4" borderId="2" xfId="0" applyNumberFormat="1" applyFont="1" applyFill="1" applyBorder="1"/>
    <x:xf numFmtId="0" fontId="6" fillId="4" borderId="3" xfId="0" applyNumberFormat="1" applyFont="1" applyFill="1" applyBorder="1"/>
    <x:xf numFmtId="0" fontId="6" fillId="4" borderId="4" xfId="0" applyNumberFormat="1" applyFont="1" applyFill="1" applyBorder="1"/>
    <x:xf numFmtId="0" fontId="6" fillId="4" borderId="2" xfId="0" applyNumberFormat="1" applyFont="1" applyFill="1" applyBorder="1" applyAlignment="1">
      <x:alignment wrapText="1"/>
    </x:xf>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borderId="2" xfId="0" applyNumberFormat="1" applyFont="1" applyFill="1" applyBorder="1" applyAlignment="1">
      <x:alignment horizontal="center" wrapText="1"/>
    </x:xf>
    <x:xf numFmtId="0" fontId="6" fillId="4" borderId="3" xfId="0" applyNumberFormat="1" applyFont="1" applyFill="1" applyBorder="1" applyAlignment="1">
      <x:alignment horizontal="center" wrapText="1"/>
    </x:xf>
    <x:xf numFmtId="0" fontId="6" fillId="4" borderId="4" xfId="0" applyNumberFormat="1" applyFont="1" applyFill="1" applyBorder="1" applyAlignment="1">
      <x:alignment horizontal="center"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5" xfId="0" applyNumberFormat="1" applyFont="1" applyFill="1" applyBorder="1" applyAlignment="1">
      <x:alignment horizontal="center" vertical="top" wrapText="1"/>
    </x:xf>
    <x:xf numFmtId="0" fontId="3" fillId="3" borderId="6" xfId="0" applyNumberFormat="1" applyFont="1" applyFill="1" applyBorder="1" applyAlignment="1">
      <x:alignment horizontal="center" vertical="top" wrapText="1"/>
    </x:xf>
    <x:xf numFmtId="0" fontId="2" fillId="0" borderId="5" xfId="0" applyNumberFormat="1" applyFont="1" applyFill="1" applyBorder="1"/>
    <x:xf numFmtId="0" fontId="2" fillId="0" borderId="6" xfId="0" applyNumberFormat="1" applyFont="1" applyFill="1" applyBorder="1"/>
    <x:xf numFmtId="0" fontId="2" fillId="0" borderId="5" xfId="0" applyNumberFormat="1" applyFont="1" applyFill="1" applyBorder="1" applyAlignment="1">
      <x:alignment vertical="top"/>
    </x:xf>
    <x:xf numFmtId="0" fontId="2" fillId="0" borderId="6" xfId="0" applyNumberFormat="1" applyFont="1" applyFill="1" applyBorder="1" applyAlignment="1">
      <x:alignment vertical="top"/>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2a598724db48e4" /><Relationship Type="http://schemas.openxmlformats.org/officeDocument/2006/relationships/theme" Target="/xl/theme/theme1.xml" Id="Ra5a4fa25d39f46db" /><Relationship Type="http://schemas.openxmlformats.org/officeDocument/2006/relationships/sharedStrings" Target="/xl/sharedStrings.xml" Id="Rfa452ea861be4584" /><Relationship Type="http://schemas.openxmlformats.org/officeDocument/2006/relationships/worksheet" Target="/xl/worksheets/sheet1.xml" Id="R83f0e5e9685b4b00" /><Relationship Type="http://schemas.openxmlformats.org/officeDocument/2006/relationships/worksheet" Target="/xl/worksheets/sheet2.xml" Id="R9f8aece4ced34600" /><Relationship Type="http://schemas.openxmlformats.org/officeDocument/2006/relationships/worksheet" Target="/xl/worksheets/sheet3.xml" Id="Rc88b3d8d1f0d4032" /><Relationship Type="http://schemas.openxmlformats.org/officeDocument/2006/relationships/worksheet" Target="/xl/worksheets/sheet4.xml" Id="Rcc40fdcfd4b94a5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0" hidden="0" customWidth="1"/>
    <x:col min="2" max="2" width="70" hidden="0" customWidth="1"/>
  </x:cols>
  <x:sheetData>
    <x:row r="2">
      <x:c r="A2" s="1" t="str">
        <x:v>B3 neutral rubric calibration</x:v>
      </x:c>
      <x:c r="B2" s="1"/>
      <x:c r="C2" s="1"/>
      <x:c r="D2" s="1"/>
      <x:c r="E2" s="1"/>
      <x:c r="F2" s="1"/>
      <x:c r="G2" s="1"/>
      <x:c r="H2" s="1"/>
    </x:row>
    <x:row r="3">
      <x:c r="A3" s="2"/>
      <x:c r="B3" s="2"/>
      <x:c r="C3" s="2"/>
      <x:c r="D3" s="2"/>
      <x:c r="E3" s="2"/>
      <x:c r="F3" s="2"/>
      <x:c r="G3" s="2"/>
      <x:c r="H3" s="2"/>
    </x:row>
    <x:row r="5">
      <x:c r="A5" s="3" t="str">
        <x:v>Protocol</x:v>
      </x:c>
      <x:c r="B5" s="4" t="str">
        <x:v>ATSR-SREP-R2-v1.0</x:v>
      </x:c>
    </x:row>
    <x:row r="6">
      <x:c r="A6" s="3" t="str">
        <x:v>Rater ID</x:v>
      </x:c>
      <x:c r="B6" s="4" t="str">
        <x:v>AUTHOR</x:v>
      </x:c>
    </x:row>
    <x:row r="7">
      <x:c r="A7" s="3" t="str">
        <x:v>Calibration items</x:v>
      </x:c>
      <x:c r="B7" s="4" t="n">
        <x:v>25</x:v>
      </x:c>
    </x:row>
    <x:row r="8">
      <x:c r="A8" s="3" t="str">
        <x:v>Items complete</x:v>
      </x:c>
      <x:c r="B8" s="4" t="n">
        <x:f>COUNTIFS(Calibration!G5:G29,"Complete")</x:f>
        <x:v>0</x:v>
      </x:c>
    </x:row>
    <x:row r="9">
      <x:c r="A9" s="3" t="str">
        <x:v>Items remaining</x:v>
      </x:c>
      <x:c r="B9" s="4" t="n">
        <x:f>25-B8</x:f>
        <x:v>25</x:v>
      </x:c>
    </x:row>
    <x:row r="10">
      <x:c r="A10" s="3" t="str">
        <x:v>Stage</x:v>
      </x:c>
      <x:c r="B10" s="4" t="str">
        <x:v>Independent scoring before discussion</x:v>
      </x:c>
    </x:row>
    <x:row r="12">
      <x:c r="A12" s="6" t="str">
        <x:v>Instructions</x:v>
      </x:c>
      <x:c r="B12" s="6"/>
      <x:c r="C12" s="6"/>
      <x:c r="D12" s="6"/>
      <x:c r="E12" s="6"/>
      <x:c r="F12" s="6"/>
      <x:c r="G12" s="6"/>
      <x:c r="H12" s="6"/>
    </x:row>
    <x:row r="13" ht="42" customHeight="1">
      <x:c r="A13" s="7" t="str">
        <x:v>1. Read the Neutral Case and draft Rubric before scoring.</x:v>
      </x:c>
      <x:c r="B13" s="7"/>
      <x:c r="C13" s="7"/>
      <x:c r="D13" s="7"/>
      <x:c r="E13" s="7"/>
      <x:c r="F13" s="7"/>
      <x:c r="G13" s="7"/>
      <x:c r="H13" s="7"/>
    </x:row>
    <x:row r="14" ht="42" customHeight="1">
      <x:c r="A14" s="7" t="str">
        <x:v>2. Score all 25 examples independently. Do not discuss scores or view another rater's workbook until all three files are returned and hash-locked.</x:v>
      </x:c>
      <x:c r="B14" s="7"/>
      <x:c r="C14" s="7"/>
      <x:c r="D14" s="7"/>
      <x:c r="E14" s="7"/>
      <x:c r="F14" s="7"/>
      <x:c r="G14" s="7"/>
      <x:c r="H14" s="7"/>
    </x:row>
    <x:row r="15" ht="42" customHeight="1">
      <x:c r="A15" s="7" t="str">
        <x:v>3. Use integer scores from 1 to 5. Half-points are not permitted.</x:v>
      </x:c>
      <x:c r="B15" s="7"/>
      <x:c r="C15" s="7"/>
      <x:c r="D15" s="7"/>
      <x:c r="E15" s="7"/>
      <x:c r="F15" s="7"/>
      <x:c r="G15" s="7"/>
      <x:c r="H15" s="7"/>
    </x:row>
    <x:row r="16" ht="42" customHeight="1">
      <x:c r="A16" s="7" t="str">
        <x:v>4. Give a short rationale tied to the rubric anchor. Do not guess the intended answer from item order.</x:v>
      </x:c>
      <x:c r="B16" s="7"/>
      <x:c r="C16" s="7"/>
      <x:c r="D16" s="7"/>
      <x:c r="E16" s="7"/>
      <x:c r="F16" s="7"/>
      <x:c r="G16" s="7"/>
      <x:c r="H16" s="7"/>
    </x:row>
    <x:row r="17" ht="42" customHeight="1">
      <x:c r="A17" s="7" t="str">
        <x:v>5. Do not open or use any of the 486 study outputs during calibration.</x:v>
      </x:c>
      <x:c r="B17" s="7"/>
      <x:c r="C17" s="7"/>
      <x:c r="D17" s="7"/>
      <x:c r="E17" s="7"/>
      <x:c r="F17" s="7"/>
      <x:c r="G17" s="7"/>
      <x:c r="H17" s="7"/>
    </x:row>
    <x:row r="18" ht="42" customHeight="1">
      <x:c r="A18" s="7" t="str">
        <x:v>6. Return the completed workbook without renaming sheets or changing item IDs.</x:v>
      </x:c>
      <x:c r="B18" s="7"/>
      <x:c r="C18" s="7"/>
      <x:c r="D18" s="7"/>
      <x:c r="E18" s="7"/>
      <x:c r="F18" s="7"/>
      <x:c r="G18" s="7"/>
      <x:c r="H18" s="7"/>
    </x:row>
    <x:row r="20">
      <x:c r="A20" s="10" t="str">
        <x:v>Stop after independent scoring. The reconciliation workbook is used only after all three calibration files are locked.</x:v>
      </x:c>
      <x:c r="B20" s="10"/>
      <x:c r="C20" s="10"/>
      <x:c r="D20" s="10"/>
      <x:c r="E20" s="10"/>
      <x:c r="F20" s="10"/>
      <x:c r="G20" s="10"/>
      <x:c r="H20" s="10"/>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29" hidden="0" customWidth="1"/>
    <x:col min="3" max="3" width="90" hidden="0" customWidth="1"/>
    <x:col min="4" max="4" width="13" hidden="0" customWidth="1"/>
    <x:col min="5" max="5" width="65" hidden="0" customWidth="1"/>
    <x:col min="6" max="6" width="40" hidden="0" customWidth="1"/>
    <x:col min="7" max="7" width="18" hidden="0" customWidth="1"/>
  </x:cols>
  <x:sheetData>
    <x:row r="2">
      <x:c r="A2" s="1" t="str">
        <x:v>Independent calibration scores</x:v>
      </x:c>
      <x:c r="B2" s="1"/>
      <x:c r="C2" s="1"/>
      <x:c r="D2" s="1"/>
      <x:c r="E2" s="1"/>
      <x:c r="F2" s="1"/>
      <x:c r="G2" s="1"/>
    </x:row>
    <x:row r="3">
      <x:c r="A3" s="2"/>
      <x:c r="B3" s="2"/>
      <x:c r="C3" s="2"/>
      <x:c r="D3" s="2"/>
      <x:c r="E3" s="2"/>
      <x:c r="F3" s="2"/>
      <x:c r="G3" s="2"/>
    </x:row>
    <x:row r="4">
      <x:c r="A4" s="22" t="str">
        <x:v>Item ID</x:v>
      </x:c>
      <x:c r="B4" s="23" t="str">
        <x:v>Dimension</x:v>
      </x:c>
      <x:c r="C4" s="23" t="str">
        <x:v>Neutral example</x:v>
      </x:c>
      <x:c r="D4" s="23" t="str">
        <x:v>Score (1-5)</x:v>
      </x:c>
      <x:c r="E4" s="23" t="str">
        <x:v>Rationale</x:v>
      </x:c>
      <x:c r="F4" s="23" t="str">
        <x:v>Notes</x:v>
      </x:c>
      <x:c r="G4" s="24" t="str">
        <x:v>Status</x:v>
      </x:c>
    </x:row>
    <x:row r="5" ht="72" customHeight="1">
      <x:c r="A5" s="27" t="str">
        <x:v>NEUT-564D8782</x:v>
      </x:c>
      <x:c r="B5" s="27" t="str">
        <x:v>Completeness</x:v>
      </x:c>
      <x:c r="C5" s="27" t="str">
        <x:v>Tests only successful 25 MB PDF upload and a file above 25 MB. Critical DOCX and antivirus/storage behavior are absent.</x:v>
      </x:c>
      <x:c r="D5" s="31"/>
      <x:c r="E5" s="29"/>
      <x:c r="F5" s="29"/>
      <x:c r="G5" s="27" t="str">
        <x:f>IF(COUNTA(D5:E5)=2,"Complete","Missing fields")</x:f>
        <x:v>Missing fields</x:v>
      </x:c>
    </x:row>
    <x:row r="6" ht="72" customHeight="1">
      <x:c r="A6" s="28" t="str">
        <x:v>NEUT-1C41FCDE</x:v>
      </x:c>
      <x:c r="B6" s="28" t="str">
        <x:v>Specificity</x:v>
      </x:c>
      <x:c r="C6" s="28" t="str">
        <x:v>Test just below, at, and above 25 MB for both formats and verify correct behavior.</x:v>
      </x:c>
      <x:c r="D6" s="32"/>
      <x:c r="E6" s="30"/>
      <x:c r="F6" s="30"/>
      <x:c r="G6" s="28" t="str">
        <x:f>IF(COUNTA(D6:E6)=2,"Complete","Missing fields")</x:f>
        <x:v>Missing fields</x:v>
      </x:c>
    </x:row>
    <x:row r="7" ht="72" customHeight="1">
      <x:c r="A7" s="28" t="str">
        <x:v>NEUT-71333023</x:v>
      </x:c>
      <x:c r="B7" s="28" t="str">
        <x:v>Risk Calibration</x:v>
      </x:c>
      <x:c r="C7" s="28" t="str">
        <x:v>Recommends LOW because only one number changed, ignoring the scanner and storage path.</x:v>
      </x:c>
      <x:c r="D7" s="32"/>
      <x:c r="E7" s="30"/>
      <x:c r="F7" s="30"/>
      <x:c r="G7" s="28" t="str">
        <x:f>IF(COUNTA(D7:E7)=2,"Complete","Missing fields")</x:f>
        <x:v>Missing fields</x:v>
      </x:c>
    </x:row>
    <x:row r="8" ht="72" customHeight="1">
      <x:c r="A8" s="28" t="str">
        <x:v>NEUT-B7B66914</x:v>
      </x:c>
      <x:c r="B8" s="28" t="str">
        <x:v>Completeness</x:v>
      </x:c>
      <x:c r="C8" s="28" t="str">
        <x:v>Covers both formats, all size boundaries, success/failure messages, scanner and storage paths, failure handling, regression below 10 MB, and both material clarification needs.</x:v>
      </x:c>
      <x:c r="D8" s="32"/>
      <x:c r="E8" s="30"/>
      <x:c r="F8" s="30"/>
      <x:c r="G8" s="28" t="str">
        <x:f>IF(COUNTA(D8:E8)=2,"Complete","Missing fields")</x:f>
        <x:v>Missing fields</x:v>
      </x:c>
    </x:row>
    <x:row r="9" ht="72" customHeight="1">
      <x:c r="A9" s="28" t="str">
        <x:v>NEUT-6D051013</x:v>
      </x:c>
      <x:c r="B9" s="28" t="str">
        <x:v>Risk Calibration</x:v>
      </x:c>
      <x:c r="C9" s="28" t="str">
        <x:v>Recommends HIGH because of malware and storage risk. The one-level increase is defensible, but broader regression is not clearly warranted.</x:v>
      </x:c>
      <x:c r="D9" s="32"/>
      <x:c r="E9" s="30"/>
      <x:c r="F9" s="30"/>
      <x:c r="G9" s="28" t="str">
        <x:f>IF(COUNTA(D9:E9)=2,"Complete","Missing fields")</x:f>
        <x:v>Missing fields</x:v>
      </x:c>
    </x:row>
    <x:row r="10" ht="72" customHeight="1">
      <x:c r="A10" s="28" t="str">
        <x:v>NEUT-9030CD8F</x:v>
      </x:c>
      <x:c r="B10" s="28" t="str">
        <x:v>Specificity</x:v>
      </x:c>
      <x:c r="C10" s="28" t="str">
        <x:v>Test exact boundary values for both formats and verify accept/reject results, but do not specify how storage success will be observed.</x:v>
      </x:c>
      <x:c r="D10" s="32"/>
      <x:c r="E10" s="30"/>
      <x:c r="F10" s="30"/>
      <x:c r="G10" s="28" t="str">
        <x:f>IF(COUNTA(D10:E10)=2,"Complete","Missing fields")</x:f>
        <x:v>Missing fields</x:v>
      </x:c>
    </x:row>
    <x:row r="11" ht="72" customHeight="1">
      <x:c r="A11" s="28" t="str">
        <x:v>NEUT-1A264F04</x:v>
      </x:c>
      <x:c r="B11" s="28" t="str">
        <x:v>Integration Awareness</x:v>
      </x:c>
      <x:c r="C11" s="28" t="str">
        <x:v>Verify that the upload integrates with backend services, without testing either side of a concrete boundary.</x:v>
      </x:c>
      <x:c r="D11" s="32"/>
      <x:c r="E11" s="30"/>
      <x:c r="F11" s="30"/>
      <x:c r="G11" s="28" t="str">
        <x:f>IF(COUNTA(D11:E11)=2,"Complete","Missing fields")</x:f>
        <x:v>Missing fields</x:v>
      </x:c>
    </x:row>
    <x:row r="12" ht="72" customHeight="1">
      <x:c r="A12" s="28" t="str">
        <x:v>NEUT-08488A5F</x:v>
      </x:c>
      <x:c r="B12" s="28" t="str">
        <x:v>Clarification Flag Quality</x:v>
      </x:c>
      <x:c r="C12" s="28" t="str">
        <x:v>Asks both material questions, but one is worded broadly and needs a small follow-up.</x:v>
      </x:c>
      <x:c r="D12" s="32"/>
      <x:c r="E12" s="30"/>
      <x:c r="F12" s="30"/>
      <x:c r="G12" s="28" t="str">
        <x:f>IF(COUNTA(D12:E12)=2,"Complete","Missing fields")</x:f>
        <x:v>Missing fields</x:v>
      </x:c>
    </x:row>
    <x:row r="13" ht="72" customHeight="1">
      <x:c r="A13" s="28" t="str">
        <x:v>NEUT-83E2C89C</x:v>
      </x:c>
      <x:c r="B13" s="28" t="str">
        <x:v>Specificity</x:v>
      </x:c>
      <x:c r="C13" s="28" t="str">
        <x:v>Upload 24.99 MB, 25.00 MB, and 25.01 MB PDF and DOCX files; verify the first two reach scanning and storage and the last is rejected with the documented size-limit message.</x:v>
      </x:c>
      <x:c r="D13" s="32"/>
      <x:c r="E13" s="30"/>
      <x:c r="F13" s="30"/>
      <x:c r="G13" s="28" t="str">
        <x:f>IF(COUNTA(D13:E13)=2,"Complete","Missing fields")</x:f>
        <x:v>Missing fields</x:v>
      </x:c>
    </x:row>
    <x:row r="14" ht="72" customHeight="1">
      <x:c r="A14" s="28" t="str">
        <x:v>NEUT-8BE6CB97</x:v>
      </x:c>
      <x:c r="B14" s="28" t="str">
        <x:v>Clarification Flag Quality</x:v>
      </x:c>
      <x:c r="C14" s="28" t="str">
        <x:v>Asks what happens when scanning fails but omits timeout/retry behavior and adds one low-value generic question.</x:v>
      </x:c>
      <x:c r="D14" s="32"/>
      <x:c r="E14" s="30"/>
      <x:c r="F14" s="30"/>
      <x:c r="G14" s="28" t="str">
        <x:f>IF(COUNTA(D14:E14)=2,"Complete","Missing fields")</x:f>
        <x:v>Missing fields</x:v>
      </x:c>
    </x:row>
    <x:row r="15" ht="72" customHeight="1">
      <x:c r="A15" s="28" t="str">
        <x:v>NEUT-81E68B60</x:v>
      </x:c>
      <x:c r="B15" s="28" t="str">
        <x:v>Risk Calibration</x:v>
      </x:c>
      <x:c r="C15" s="28" t="str">
        <x:v>Recommends no depth or an invalid value, or treats the change as requiring no testing despite its downstream path.</x:v>
      </x:c>
      <x:c r="D15" s="32"/>
      <x:c r="E15" s="30"/>
      <x:c r="F15" s="30"/>
      <x:c r="G15" s="28" t="str">
        <x:f>IF(COUNTA(D15:E15)=2,"Complete","Missing fields")</x:f>
        <x:v>Missing fields</x:v>
      </x:c>
    </x:row>
    <x:row r="16" ht="72" customHeight="1">
      <x:c r="A16" s="28" t="str">
        <x:v>NEUT-78AE84D2</x:v>
      </x:c>
      <x:c r="B16" s="28" t="str">
        <x:v>Integration Awareness</x:v>
      </x:c>
      <x:c r="C16" s="28" t="str">
        <x:v>Covers the normal scanner-to-storage path but omits scanner outage or failure propagation.</x:v>
      </x:c>
      <x:c r="D16" s="32"/>
      <x:c r="E16" s="30"/>
      <x:c r="F16" s="30"/>
      <x:c r="G16" s="28" t="str">
        <x:f>IF(COUNTA(D16:E16)=2,"Complete","Missing fields")</x:f>
        <x:v>Missing fields</x:v>
      </x:c>
    </x:row>
    <x:row r="17" ht="72" customHeight="1">
      <x:c r="A17" s="28" t="str">
        <x:v>NEUT-52917430</x:v>
      </x:c>
      <x:c r="B17" s="28" t="str">
        <x:v>Risk Calibration</x:v>
      </x:c>
      <x:c r="C17" s="28" t="str">
        <x:v>Recommends MEDIUM with a sound but generic explanation that the change affects upload validation and connected services.</x:v>
      </x:c>
      <x:c r="D17" s="32"/>
      <x:c r="E17" s="30"/>
      <x:c r="F17" s="30"/>
      <x:c r="G17" s="28" t="str">
        <x:f>IF(COUNTA(D17:E17)=2,"Complete","Missing fields")</x:f>
        <x:v>Missing fields</x:v>
      </x:c>
    </x:row>
    <x:row r="18" ht="72" customHeight="1">
      <x:c r="A18" s="28" t="str">
        <x:v>NEUT-5FF01E1F</x:v>
      </x:c>
      <x:c r="B18" s="28" t="str">
        <x:v>Integration Awareness</x:v>
      </x:c>
      <x:c r="C18" s="28" t="str">
        <x:v>Covers scanner and object-store boundaries and user-visible results but omits one secondary timeout or retry consequence.</x:v>
      </x:c>
      <x:c r="D18" s="32"/>
      <x:c r="E18" s="30"/>
      <x:c r="F18" s="30"/>
      <x:c r="G18" s="28" t="str">
        <x:f>IF(COUNTA(D18:E18)=2,"Complete","Missing fields")</x:f>
        <x:v>Missing fields</x:v>
      </x:c>
    </x:row>
    <x:row r="19" ht="72" customHeight="1">
      <x:c r="A19" s="28" t="str">
        <x:v>NEUT-BF48EC9E</x:v>
      </x:c>
      <x:c r="B19" s="28" t="str">
        <x:v>Specificity</x:v>
      </x:c>
      <x:c r="C19" s="28" t="str">
        <x:v>Perform functional, regression, and integration testing.</x:v>
      </x:c>
      <x:c r="D19" s="32"/>
      <x:c r="E19" s="30"/>
      <x:c r="F19" s="30"/>
      <x:c r="G19" s="28" t="str">
        <x:f>IF(COUNTA(D19:E19)=2,"Complete","Missing fields")</x:f>
        <x:v>Missing fields</x:v>
      </x:c>
    </x:row>
    <x:row r="20" ht="72" customHeight="1">
      <x:c r="A20" s="28" t="str">
        <x:v>NEUT-7FE673E1</x:v>
      </x:c>
      <x:c r="B20" s="28" t="str">
        <x:v>Integration Awareness</x:v>
      </x:c>
      <x:c r="C20" s="28" t="str">
        <x:v>Tests portal-to-scanner handoff, scanner result return, portal-to-object-store persistence, failures at each boundary, and the user-visible final state.</x:v>
      </x:c>
      <x:c r="D20" s="32"/>
      <x:c r="E20" s="30"/>
      <x:c r="F20" s="30"/>
      <x:c r="G20" s="28" t="str">
        <x:f>IF(COUNTA(D20:E20)=2,"Complete","Missing fields")</x:f>
        <x:v>Missing fields</x:v>
      </x:c>
    </x:row>
    <x:row r="21" ht="72" customHeight="1">
      <x:c r="A21" s="28" t="str">
        <x:v>NEUT-73892CED</x:v>
      </x:c>
      <x:c r="B21" s="28" t="str">
        <x:v>Completeness</x:v>
      </x:c>
      <x:c r="C21" s="28" t="str">
        <x:v>Covers valid uploads and the 25 MB boundary but omits scanner-unavailable behavior and one secondary regression area. The core is usable with supplementation.</x:v>
      </x:c>
      <x:c r="D21" s="32"/>
      <x:c r="E21" s="30"/>
      <x:c r="F21" s="30"/>
      <x:c r="G21" s="28" t="str">
        <x:f>IF(COUNTA(D21:E21)=2,"Complete","Missing fields")</x:f>
        <x:v>Missing fields</x:v>
      </x:c>
    </x:row>
    <x:row r="22" ht="72" customHeight="1">
      <x:c r="A22" s="28" t="str">
        <x:v>NEUT-06DCA0B1</x:v>
      </x:c>
      <x:c r="B22" s="28" t="str">
        <x:v>Specificity</x:v>
      </x:c>
      <x:c r="C22" s="28" t="str">
        <x:v>Test valid, invalid, and edge-case files and verify integrations.</x:v>
      </x:c>
      <x:c r="D22" s="32"/>
      <x:c r="E22" s="30"/>
      <x:c r="F22" s="30"/>
      <x:c r="G22" s="28" t="str">
        <x:f>IF(COUNTA(D22:E22)=2,"Complete","Missing fields")</x:f>
        <x:v>Missing fields</x:v>
      </x:c>
    </x:row>
    <x:row r="23" ht="72" customHeight="1">
      <x:c r="A23" s="28" t="str">
        <x:v>NEUT-8A55868D</x:v>
      </x:c>
      <x:c r="B23" s="28" t="str">
        <x:v>Completeness</x:v>
      </x:c>
      <x:c r="C23" s="28" t="str">
        <x:v>Says only to test document upload thoroughly, without identifying the changed limit or the core success and rejection behaviors.</x:v>
      </x:c>
      <x:c r="D23" s="32"/>
      <x:c r="E23" s="30"/>
      <x:c r="F23" s="30"/>
      <x:c r="G23" s="28" t="str">
        <x:f>IF(COUNTA(D23:E23)=2,"Complete","Missing fields")</x:f>
        <x:v>Missing fields</x:v>
      </x:c>
    </x:row>
    <x:row r="24" ht="72" customHeight="1">
      <x:c r="A24" s="28" t="str">
        <x:v>NEUT-8B5C7BDD</x:v>
      </x:c>
      <x:c r="B24" s="28" t="str">
        <x:v>Clarification Flag Quality</x:v>
      </x:c>
      <x:c r="C24" s="28" t="str">
        <x:v>Supplies no flags despite unresolved scanner failure behavior, or asks wholly irrelevant questions.</x:v>
      </x:c>
      <x:c r="D24" s="32"/>
      <x:c r="E24" s="30"/>
      <x:c r="F24" s="30"/>
      <x:c r="G24" s="28" t="str">
        <x:f>IF(COUNTA(D24:E24)=2,"Complete","Missing fields")</x:f>
        <x:v>Missing fields</x:v>
      </x:c>
    </x:row>
    <x:row r="25" ht="72" customHeight="1">
      <x:c r="A25" s="28" t="str">
        <x:v>NEUT-F0B24B52</x:v>
      </x:c>
      <x:c r="B25" s="28" t="str">
        <x:v>Completeness</x:v>
      </x:c>
      <x:c r="C25" s="28" t="str">
        <x:v>Covers all critical paths but omits one minor regression check, such as a representative file well below 10 MB.</x:v>
      </x:c>
      <x:c r="D25" s="32"/>
      <x:c r="E25" s="30"/>
      <x:c r="F25" s="30"/>
      <x:c r="G25" s="28" t="str">
        <x:f>IF(COUNTA(D25:E25)=2,"Complete","Missing fields")</x:f>
        <x:v>Missing fields</x:v>
      </x:c>
    </x:row>
    <x:row r="26" ht="72" customHeight="1">
      <x:c r="A26" s="28" t="str">
        <x:v>NEUT-D125AD2F</x:v>
      </x:c>
      <x:c r="B26" s="28" t="str">
        <x:v>Integration Awareness</x:v>
      </x:c>
      <x:c r="C26" s="28" t="str">
        <x:v>Omits the scanner and storage path or invents an unrelated payment service as the primary integration.</x:v>
      </x:c>
      <x:c r="D26" s="32"/>
      <x:c r="E26" s="30"/>
      <x:c r="F26" s="30"/>
      <x:c r="G26" s="28" t="str">
        <x:f>IF(COUNTA(D26:E26)=2,"Complete","Missing fields")</x:f>
        <x:v>Missing fields</x:v>
      </x:c>
    </x:row>
    <x:row r="27" ht="72" customHeight="1">
      <x:c r="A27" s="28" t="str">
        <x:v>NEUT-BE87554C</x:v>
      </x:c>
      <x:c r="B27" s="28" t="str">
        <x:v>Risk Calibration</x:v>
      </x:c>
      <x:c r="C27" s="28" t="str">
        <x:v>Recommends MEDIUM and explains that a bounded configuration change affects validation plus two downstream services and failure handling.</x:v>
      </x:c>
      <x:c r="D27" s="32"/>
      <x:c r="E27" s="30"/>
      <x:c r="F27" s="30"/>
      <x:c r="G27" s="28" t="str">
        <x:f>IF(COUNTA(D27:E27)=2,"Complete","Missing fields")</x:f>
        <x:v>Missing fields</x:v>
      </x:c>
    </x:row>
    <x:row r="28" ht="72" customHeight="1">
      <x:c r="A28" s="28" t="str">
        <x:v>NEUT-FE456814</x:v>
      </x:c>
      <x:c r="B28" s="28" t="str">
        <x:v>Clarification Flag Quality</x:v>
      </x:c>
      <x:c r="C28" s="28" t="str">
        <x:v>Asks for the exact timeout/retry behavior and the required user/system outcome when antivirus scanning is unavailable.</x:v>
      </x:c>
      <x:c r="D28" s="32"/>
      <x:c r="E28" s="30"/>
      <x:c r="F28" s="30"/>
      <x:c r="G28" s="28" t="str">
        <x:f>IF(COUNTA(D28:E28)=2,"Complete","Missing fields")</x:f>
        <x:v>Missing fields</x:v>
      </x:c>
    </x:row>
    <x:row r="29" ht="72" customHeight="1">
      <x:c r="A29" s="28" t="str">
        <x:v>NEUT-D01BB7AE</x:v>
      </x:c>
      <x:c r="B29" s="28" t="str">
        <x:v>Clarification Flag Quality</x:v>
      </x:c>
      <x:c r="C29" s="28" t="str">
        <x:v>Asks who owns the feature and whether documentation exists while material ambiguity remains.</x:v>
      </x:c>
      <x:c r="D29" s="32"/>
      <x:c r="E29" s="30"/>
      <x:c r="F29" s="30"/>
      <x:c r="G29" s="28" t="str">
        <x:f>IF(COUNTA(D29:E29)=2,"Complete","Missing fields")</x:f>
        <x:v>Missing fields</x:v>
      </x:c>
    </x:row>
  </x:sheetData>
  <x:dataValidations count="1">
    <x:dataValidation type="list" sqref="D5:D29">
      <x:formula1>"1,2,3,4,5"</x:formula1>
    </x:dataValidation>
  </x:dataValidations>
  <x:pageMargins left="0.7" right="0.7" top="0.75" bottom="0.75" header="0.3" footer="0.3"/>
</x:worksheet>
</file>

<file path=xl/worksheets/sheet3.xml><?xml version="1.0" encoding="utf-8"?>
<x:worksheet xmlns:x="http://schemas.openxmlformats.org/spreadsheetml/2006/main">
  <x:sheetPr>
    <x:tabColor rgb="FFEAF2F8"/>
  </x:sheetPr>
  <x:sheetViews>
    <x:sheetView showGridLines="0" workbookViewId="0"/>
  </x:sheetViews>
  <x:sheetFormatPr defaultRowHeight="15"/>
  <x:cols>
    <x:col min="1" max="1" width="24" hidden="0" customWidth="1"/>
    <x:col min="2" max="2" width="110" hidden="0" customWidth="1"/>
  </x:cols>
  <x:sheetData>
    <x:row r="2">
      <x:c r="A2" s="1" t="str">
        <x:v>Neutral calibration case</x:v>
      </x:c>
      <x:c r="B2" s="1"/>
      <x:c r="C2" s="1"/>
      <x:c r="D2" s="1"/>
      <x:c r="E2" s="1"/>
      <x:c r="F2" s="1"/>
      <x:c r="G2" s="1"/>
      <x:c r="H2" s="1"/>
    </x:row>
    <x:row r="3">
      <x:c r="A3" s="2"/>
      <x:c r="B3" s="2"/>
      <x:c r="C3" s="2"/>
      <x:c r="D3" s="2"/>
      <x:c r="E3" s="2"/>
      <x:c r="F3" s="2"/>
      <x:c r="G3" s="2"/>
      <x:c r="H3" s="2"/>
    </x:row>
    <x:row r="5" ht="90" customHeight="1">
      <x:c r="A5" s="35" t="str">
        <x:v>Specification</x:v>
      </x:c>
      <x:c r="B5" s="27" t="str">
        <x:v>A document portal is increasing its maximum upload size from 10 MB to 25 MB. It accepts PDF and DOCX files. Uploaded files pass through antivirus scanning and are then stored in a cloud object store. The user sees a success or failure message. No acceptance criteria specify boundary behavior, timeouts, or what should happen when antivirus scanning is unavailable.</x:v>
      </x:c>
    </x:row>
    <x:row r="6" ht="90" customHeight="1">
      <x:c r="A6" s="36" t="str">
        <x:v>Agreed reference</x:v>
      </x:c>
      <x:c r="B6" s="28" t="str">
        <x:v>MEDIUM depth. Essential scope includes the 10/25 MB boundaries, both file types, unchanged rejection above the limit, upload success/failure messaging, antivirus handoff and failure behavior, storage persistence, regression below 10 MB, and clarification of timeout and scanner-unavailable behavior.</x:v>
      </x:c>
    </x:row>
    <x:row r="7" ht="90" customHeight="1">
      <x:c r="A7" s="36" t="str">
        <x:v>Study-output exclusion</x:v>
      </x:c>
      <x:c r="B7" s="28" t="str">
        <x:v>This case is not one of the 18 study specifications and none of its examples is among the 486 study outputs.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9" hidden="0" customWidth="1"/>
    <x:col min="3" max="3" width="105" hidden="0" customWidth="1"/>
  </x:cols>
  <x:sheetData>
    <x:row r="2">
      <x:c r="A2" s="1" t="str">
        <x:v>Draft scoring anchors</x:v>
      </x:c>
      <x:c r="B2" s="1"/>
      <x:c r="C2" s="1"/>
      <x:c r="D2" s="1"/>
    </x:row>
    <x:row r="3">
      <x:c r="A3" s="2"/>
      <x:c r="B3" s="2"/>
      <x:c r="C3" s="2"/>
      <x:c r="D3" s="2"/>
    </x:row>
    <x:row r="4">
      <x:c r="A4" s="22" t="str">
        <x:v>Dimension</x:v>
      </x:c>
      <x:c r="B4" s="23" t="str">
        <x:v>Score</x:v>
      </x:c>
      <x:c r="C4" s="24" t="str">
        <x:v>Anchor</x:v>
      </x:c>
    </x:row>
    <x:row r="5" ht="54" customHeight="1">
      <x:c r="A5" s="27" t="str">
        <x:v>Completeness</x:v>
      </x:c>
      <x:c r="B5" s="37" t="n">
        <x:v>1</x:v>
      </x:c>
      <x:c r="C5" s="27" t="str">
        <x:v>Misses the core changed behavior or most relevant test types. The proposed scope is fundamentally inadequate or largely unrelated.</x:v>
      </x:c>
    </x:row>
    <x:row r="6" ht="54" customHeight="1">
      <x:c r="A6" s="28" t="str">
        <x:v>Completeness</x:v>
      </x:c>
      <x:c r="B6" s="38" t="n">
        <x:v>2</x:v>
      </x:c>
      <x:c r="C6" s="28" t="str">
        <x:v>Misses a critical element or multiple important areas. The plan would create a meaningful coverage risk without substantial additions.</x:v>
      </x:c>
    </x:row>
    <x:row r="7" ht="54" customHeight="1">
      <x:c r="A7" s="28" t="str">
        <x:v>Completeness</x:v>
      </x:c>
      <x:c r="B7" s="38" t="n">
        <x:v>3</x:v>
      </x:c>
      <x:c r="C7" s="28" t="str">
        <x:v>Covers the core changed behavior and the main test type, but misses one important secondary area or several minor elements. The plan remains usable with supplementation.</x:v>
      </x:c>
    </x:row>
    <x:row r="8" ht="54" customHeight="1">
      <x:c r="A8" s="28" t="str">
        <x:v>Completeness</x:v>
      </x:c>
      <x:c r="B8" s="38" t="n">
        <x:v>4</x:v>
      </x:c>
      <x:c r="C8" s="28" t="str">
        <x:v>Covers every critical element and nearly all important elements. At most one minor or narrowly bounded gap remains.</x:v>
      </x:c>
    </x:row>
    <x:row r="9" ht="54" customHeight="1">
      <x:c r="A9" s="28" t="str">
        <x:v>Completeness</x:v>
      </x:c>
      <x:c r="B9" s="38" t="n">
        <x:v>5</x:v>
      </x:c>
      <x:c r="C9" s="28" t="str">
        <x:v>Covers every critical and important consensus element across all relevant test types. No material gap remains.</x:v>
      </x:c>
    </x:row>
    <x:row r="10" ht="54" customHeight="1">
      <x:c r="A10" s="28" t="str">
        <x:v>Specificity</x:v>
      </x:c>
      <x:c r="B10" s="38" t="n">
        <x:v>1</x:v>
      </x:c>
      <x:c r="C10" s="28" t="str">
        <x:v>The content is predominantly boilerplate, tautological, internally incoherent, or too vague to guide test design.</x:v>
      </x:c>
    </x:row>
    <x:row r="11" ht="54" customHeight="1">
      <x:c r="A11" s="28" t="str">
        <x:v>Specificity</x:v>
      </x:c>
      <x:c r="B11" s="38" t="n">
        <x:v>2</x:v>
      </x:c>
      <x:c r="C11" s="28" t="str">
        <x:v>Most items are category labels or generic directives such as test edge cases or verify integration. Significant interpretation is needed before execution.</x:v>
      </x:c>
    </x:row>
    <x:row r="12" ht="54" customHeight="1">
      <x:c r="A12" s="28" t="str">
        <x:v>Specificity</x:v>
      </x:c>
      <x:c r="B12" s="38" t="n">
        <x:v>3</x:v>
      </x:c>
      <x:c r="C12" s="28" t="str">
        <x:v>The core items are understandable, but concrete inputs, boundaries, system states, or expected results are inconsistently supplied. Moderate interpretation is needed.</x:v>
      </x:c>
    </x:row>
    <x:row r="13" ht="54" customHeight="1">
      <x:c r="A13" s="28" t="str">
        <x:v>Specificity</x:v>
      </x:c>
      <x:c r="B13" s="38" t="n">
        <x:v>4</x:v>
      </x:c>
      <x:c r="C13" s="28" t="str">
        <x:v>The recommendation is actionable overall. Most material items contain concrete scenarios and outcomes, with only minor vagueness or a few generic supporting items.</x:v>
      </x:c>
    </x:row>
    <x:row r="14" ht="54" customHeight="1">
      <x:c r="A14" s="28" t="str">
        <x:v>Specificity</x:v>
      </x:c>
      <x:c r="B14" s="38" t="n">
        <x:v>5</x:v>
      </x:c>
      <x:c r="C14" s="28" t="str">
        <x:v>Nearly every material item identifies a concrete behavior or scenario, relevant context or boundary, and an observable expected result. Minimal interpretation is needed.</x:v>
      </x:c>
    </x:row>
    <x:row r="15" ht="54" customHeight="1">
      <x:c r="A15" s="28" t="str">
        <x:v>Risk Calibration</x:v>
      </x:c>
      <x:c r="B15" s="38" t="n">
        <x:v>1</x:v>
      </x:c>
      <x:c r="C15" s="28" t="str">
        <x:v>Depth differs by two levels, is absent or invalid, or is plainly incompatible with the scale and the change's risk.</x:v>
      </x:c>
    </x:row>
    <x:row r="16" ht="54" customHeight="1">
      <x:c r="A16" s="28" t="str">
        <x:v>Risk Calibration</x:v>
      </x:c>
      <x:c r="B16" s="38" t="n">
        <x:v>2</x:v>
      </x:c>
      <x:c r="C16" s="28" t="str">
        <x:v>Depth differs by one level without a sound case, or matches only superficially while the justification materially misreads the risk.</x:v>
      </x:c>
    </x:row>
    <x:row r="17" ht="54" customHeight="1">
      <x:c r="A17" s="28" t="str">
        <x:v>Risk Calibration</x:v>
      </x:c>
      <x:c r="B17" s="38" t="n">
        <x:v>3</x:v>
      </x:c>
      <x:c r="C17" s="28" t="str">
        <x:v>Depth differs by one level but is reasonably defensible from recorded ambiguity, or matches while the justification is materially weak or partly contradictory.</x:v>
      </x:c>
    </x:row>
    <x:row r="18" ht="54" customHeight="1">
      <x:c r="A18" s="28" t="str">
        <x:v>Risk Calibration</x:v>
      </x:c>
      <x:c r="B18" s="38" t="n">
        <x:v>4</x:v>
      </x:c>
      <x:c r="C18" s="28" t="str">
        <x:v>Depth exactly matches consensus and the justification is sound but incomplete or somewhat generic.</x:v>
      </x:c>
    </x:row>
    <x:row r="19" ht="54" customHeight="1">
      <x:c r="A19" s="28" t="str">
        <x:v>Risk Calibration</x:v>
      </x:c>
      <x:c r="B19" s="38" t="n">
        <x:v>5</x:v>
      </x:c>
      <x:c r="C19" s="28" t="str">
        <x:v>Depth exactly matches consensus and the justification accurately connects change type, impact, breadth, and material failure risks.</x:v>
      </x:c>
    </x:row>
    <x:row r="20" ht="54" customHeight="1">
      <x:c r="A20" s="28" t="str">
        <x:v>Integration Awareness</x:v>
      </x:c>
      <x:c r="B20" s="38" t="n">
        <x:v>1</x:v>
      </x:c>
      <x:c r="C20" s="28" t="str">
        <x:v>Integration considerations are absent, substantially incorrect, or replaced by invented systems that obscure the actual boundary.</x:v>
      </x:c>
    </x:row>
    <x:row r="21" ht="54" customHeight="1">
      <x:c r="A21" s="28" t="str">
        <x:v>Integration Awareness</x:v>
      </x:c>
      <x:c r="B21" s="38" t="n">
        <x:v>2</x:v>
      </x:c>
      <x:c r="C21" s="28" t="str">
        <x:v>Mentions integration only at a surface level, tests one side of the boundary, or misses a critical dependency.</x:v>
      </x:c>
    </x:row>
    <x:row r="22" ht="54" customHeight="1">
      <x:c r="A22" s="28" t="str">
        <x:v>Integration Awareness</x:v>
      </x:c>
      <x:c r="B22" s="38" t="n">
        <x:v>3</x:v>
      </x:c>
      <x:c r="C22" s="28" t="str">
        <x:v>Covers the main end-to-end path but misses an important secondary dependency, failure path, or downstream effect.</x:v>
      </x:c>
    </x:row>
    <x:row r="23" ht="54" customHeight="1">
      <x:c r="A23" s="28" t="str">
        <x:v>Integration Awareness</x:v>
      </x:c>
      <x:c r="B23" s="38" t="n">
        <x:v>4</x:v>
      </x:c>
      <x:c r="C23" s="28" t="str">
        <x:v>Covers every critical boundary and most important dependencies, with at most one minor touchpoint or consequence omitted.</x:v>
      </x:c>
    </x:row>
    <x:row r="24" ht="54" customHeight="1">
      <x:c r="A24" s="28" t="str">
        <x:v>Integration Awareness</x:v>
      </x:c>
      <x:c r="B24" s="38" t="n">
        <x:v>5</x:v>
      </x:c>
      <x:c r="C24" s="28" t="str">
        <x:v>Identifies every critical and important consensus integration boundary and states how behavior or data should be checked across each one.</x:v>
      </x:c>
    </x:row>
    <x:row r="25" ht="54" customHeight="1">
      <x:c r="A25" s="28" t="str">
        <x:v>Clarification Flag Quality</x:v>
      </x:c>
      <x:c r="B25" s="38" t="n">
        <x:v>1</x:v>
      </x:c>
      <x:c r="C25" s="28" t="str">
        <x:v>Provides no useful question despite a critical ambiguity, or the flags are wholly irrelevant, fabricated, or boilerplate.</x:v>
      </x:c>
    </x:row>
    <x:row r="26" ht="54" customHeight="1">
      <x:c r="A26" s="28" t="str">
        <x:v>Clarification Flag Quality</x:v>
      </x:c>
      <x:c r="B26" s="38" t="n">
        <x:v>2</x:v>
      </x:c>
      <x:c r="C26" s="28" t="str">
        <x:v>Questions are mostly generic, already answered, or low-impact; or a material ambiguity is left unflagged.</x:v>
      </x:c>
    </x:row>
    <x:row r="27" ht="54" customHeight="1">
      <x:c r="A27" s="28" t="str">
        <x:v>Clarification Flag Quality</x:v>
      </x:c>
      <x:c r="B27" s="38" t="n">
        <x:v>3</x:v>
      </x:c>
      <x:c r="C27" s="28" t="str">
        <x:v>Includes at least one useful question but mixes it with generic items, or misses another important ambiguity.</x:v>
      </x:c>
    </x:row>
    <x:row r="28" ht="54" customHeight="1">
      <x:c r="A28" s="28" t="str">
        <x:v>Clarification Flag Quality</x:v>
      </x:c>
      <x:c r="B28" s="38" t="n">
        <x:v>4</x:v>
      </x:c>
      <x:c r="C28" s="28" t="str">
        <x:v>Captures the most important ambiguities. One minor question is missing, vague, or low-value.</x:v>
      </x:c>
    </x:row>
    <x:row r="29" ht="54" customHeight="1">
      <x:c r="A29" s="28" t="str">
        <x:v>Clarification Flag Quality</x:v>
      </x:c>
      <x:c r="B29" s="38" t="n">
        <x:v>5</x:v>
      </x:c>
      <x:c r="C29" s="28" t="str">
        <x:v>Captures all material consensus ambiguities with targeted, actionable questions and no distracting boilerplate.</x:v>
      </x:c>
    </x:row>
  </x:sheetData>
  <x:pageMargins left="0.7" right="0.7" top="0.75" bottom="0.75" header="0.3" footer="0.3"/>
</x:worksheet>
</file>