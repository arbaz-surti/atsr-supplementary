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c2879286d845f9" /></Relationships>
</file>

<file path=xl/workbook.xml><?xml version="1.0" encoding="utf-8"?>
<x:workbook xmlns:x="http://schemas.openxmlformats.org/spreadsheetml/2006/main">
  <x:sheets>
    <x:sheet xmlns:r="http://schemas.openxmlformats.org/officeDocument/2006/relationships" name="Read First" sheetId="1" r:id="Rec197df6ab1f40fd"/>
    <x:sheet xmlns:r="http://schemas.openxmlformats.org/officeDocument/2006/relationships" name="Comparison" sheetId="2" r:id="R11051a76bed34099"/>
    <x:sheet xmlns:r="http://schemas.openxmlformats.org/officeDocument/2006/relationships" name="Freeze Record" sheetId="3" r:id="Rf5d74a95f63a47ec"/>
    <x:sheet xmlns:r="http://schemas.openxmlformats.org/officeDocument/2006/relationships" name="Neutral Case" sheetId="4" r:id="Rf10aa0ebad804519"/>
    <x:sheet xmlns:r="http://schemas.openxmlformats.org/officeDocument/2006/relationships" name="Rubric" sheetId="5" r:id="Rde1da86bae254b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8">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4"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5" fillId="3" borderId="4"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4" borderId="6" xfId="0" applyNumberFormat="1" applyFont="1" applyFill="1" applyBorder="1" applyAlignment="1">
      <x:alignment vertical="top" wrapText="1"/>
    </x:xf>
    <x:xf numFmtId="0" fontId="3" fillId="0" borderId="5"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xf numFmtId="0" fontId="3" fillId="4"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200" fontId="3" fillId="4" borderId="5" xfId="0" applyNumberFormat="1" applyFont="1" applyFill="1" applyBorder="1" applyAlignment="1">
      <x:alignment vertical="top" wrapText="1"/>
    </x:xf>
    <x:xf numFmtId="200" fontId="3" fillId="4"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bf359ecb714d62" /><Relationship Type="http://schemas.openxmlformats.org/officeDocument/2006/relationships/theme" Target="/xl/theme/theme1.xml" Id="Rb089faad0a224750" /><Relationship Type="http://schemas.openxmlformats.org/officeDocument/2006/relationships/sharedStrings" Target="/xl/sharedStrings.xml" Id="R0918c3f7134f477e" /><Relationship Type="http://schemas.openxmlformats.org/officeDocument/2006/relationships/worksheet" Target="/xl/worksheets/sheet1.xml" Id="Rec197df6ab1f40fd" /><Relationship Type="http://schemas.openxmlformats.org/officeDocument/2006/relationships/worksheet" Target="/xl/worksheets/sheet2.xml" Id="R11051a76bed34099" /><Relationship Type="http://schemas.openxmlformats.org/officeDocument/2006/relationships/worksheet" Target="/xl/worksheets/sheet3.xml" Id="Rf5d74a95f63a47ec" /><Relationship Type="http://schemas.openxmlformats.org/officeDocument/2006/relationships/worksheet" Target="/xl/worksheets/sheet4.xml" Id="Rf10aa0ebad804519" /><Relationship Type="http://schemas.openxmlformats.org/officeDocument/2006/relationships/worksheet" Target="/xl/worksheets/sheet5.xml" Id="Rde1da86bae254b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5" hidden="0" customWidth="1"/>
  </x:cols>
  <x:sheetData>
    <x:row r="2">
      <x:c r="A2" s="1" t="str">
        <x:v>B3 rubric-calibration reconciliation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Calibration items</x:v>
      </x:c>
      <x:c r="B6" s="4" t="n">
        <x:v>25</x:v>
      </x:c>
    </x:row>
    <x:row r="7">
      <x:c r="A7" s="3" t="str">
        <x:v>Rows complete</x:v>
      </x:c>
      <x:c r="B7" s="4" t="n">
        <x:f>COUNTIFS(Comparison!M5:M29,"Complete")</x:f>
        <x:v>25</x:v>
      </x:c>
    </x:row>
    <x:row r="8">
      <x:c r="A8" s="3" t="str">
        <x:v>Rows remaining</x:v>
      </x:c>
      <x:c r="B8" s="4" t="n">
        <x:f>25-B7</x:f>
        <x:v>0</x:v>
      </x:c>
    </x:row>
    <x:row r="9">
      <x:c r="A9" s="3" t="str">
        <x:v>Meeting stage</x:v>
      </x:c>
      <x:c r="B9" s="4" t="str">
        <x:v>Reconciliation complete; rubric frozen 2026-09-14</x:v>
      </x:c>
    </x:row>
    <x:row r="10">
      <x:c r="A10" s="3" t="str">
        <x:v>Study outputs permitted</x:v>
      </x:c>
      <x:c r="B10" s="4" t="str">
        <x:v>Yes, using the frozen rubric and blinded rating packets</x:v>
      </x:c>
    </x:row>
    <x:row r="11">
      <x:c r="A11" s="3" t="str">
        <x:v>Rubric status</x:v>
      </x:c>
      <x:c r="B11" s="4" t="str">
        <x:v>Final and frozen; SHA-256 recorded in Freeze Record</x:v>
      </x:c>
    </x:row>
    <x:row r="13">
      <x:c r="A13" s="6" t="str">
        <x:v>Meeting sequence</x:v>
      </x:c>
      <x:c r="B13" s="6"/>
      <x:c r="C13" s="6"/>
      <x:c r="D13" s="6"/>
      <x:c r="E13" s="6"/>
      <x:c r="F13" s="6"/>
      <x:c r="G13" s="6"/>
      <x:c r="H13" s="6"/>
    </x:row>
    <x:row r="14" ht="44" customHeight="1">
      <x:c r="A14" s="7" t="str">
        <x:v>1. Archive and hash all three returned independent calibration workbooks before opening this file.</x:v>
      </x:c>
      <x:c r="B14" s="7"/>
      <x:c r="C14" s="7"/>
      <x:c r="D14" s="7"/>
      <x:c r="E14" s="7"/>
      <x:c r="F14" s="7"/>
      <x:c r="G14" s="7"/>
      <x:c r="H14" s="7"/>
    </x:row>
    <x:row r="15" ht="44" customHeight="1">
      <x:c r="A15" s="7" t="str">
        <x:v>2. Copy each rater's 25 scores into the matching source column without changing item IDs or wording.</x:v>
      </x:c>
      <x:c r="B15" s="7"/>
      <x:c r="C15" s="7"/>
      <x:c r="D15" s="7"/>
      <x:c r="E15" s="7"/>
      <x:c r="F15" s="7"/>
      <x:c r="G15" s="7"/>
      <x:c r="H15" s="7"/>
    </x:row>
    <x:row r="16" ht="44" customHeight="1">
      <x:c r="A16" s="7" t="str">
        <x:v>3. Discuss every non-unanimous row and any unanimous row that exposes unclear wording.</x:v>
      </x:c>
      <x:c r="B16" s="7"/>
      <x:c r="C16" s="7"/>
      <x:c r="D16" s="7"/>
      <x:c r="E16" s="7"/>
      <x:c r="F16" s="7"/>
      <x:c r="G16" s="7"/>
      <x:c r="H16" s="7"/>
    </x:row>
    <x:row r="17" ht="44" customHeight="1">
      <x:c r="A17" s="7" t="str">
        <x:v>4. Record the final agreed score, whether the rubric must change, and the agreed interpretation or exact wording change.</x:v>
      </x:c>
      <x:c r="B17" s="7"/>
      <x:c r="C17" s="7"/>
      <x:c r="D17" s="7"/>
      <x:c r="E17" s="7"/>
      <x:c r="F17" s="7"/>
      <x:c r="G17" s="7"/>
      <x:c r="H17" s="7"/>
    </x:row>
    <x:row r="18" ht="44" customHeight="1">
      <x:c r="A18" s="7" t="str">
        <x:v>5. Complete the Freeze Record. Apply approved wording changes to a new final rubric file, then hash it.</x:v>
      </x:c>
      <x:c r="B18" s="7"/>
      <x:c r="C18" s="7"/>
      <x:c r="D18" s="7"/>
      <x:c r="E18" s="7"/>
      <x:c r="F18" s="7"/>
      <x:c r="G18" s="7"/>
      <x:c r="H18" s="7"/>
    </x:row>
    <x:row r="19" ht="44" customHeight="1">
      <x:c r="A19" s="7" t="str">
        <x:v>6. Do not create or open blinded study-output packets until the final rubric hash is recorded.</x:v>
      </x:c>
      <x:c r="B19" s="7"/>
      <x:c r="C19" s="7"/>
      <x:c r="D19" s="7"/>
      <x:c r="E19" s="7"/>
      <x:c r="F19" s="7"/>
      <x:c r="G19" s="7"/>
      <x:c r="H19" s="7"/>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9" hidden="0" customWidth="1"/>
    <x:col min="3" max="3" width="90" hidden="0" customWidth="1"/>
    <x:col min="4" max="4" width="18" hidden="0" customWidth="1"/>
    <x:col min="5" max="5" width="16" hidden="0" customWidth="1"/>
    <x:col min="6" max="6" width="20" hidden="0" customWidth="1"/>
    <x:col min="7" max="7" width="20" hidden="0" customWidth="1"/>
    <x:col min="8" max="8" width="18" hidden="0" customWidth="1"/>
    <x:col min="9" max="9" width="17" hidden="0" customWidth="1"/>
    <x:col min="10" max="10" width="17" hidden="0" customWidth="1"/>
    <x:col min="11" max="11" width="70" hidden="0" customWidth="1"/>
    <x:col min="12" max="12" width="42" hidden="0" customWidth="1"/>
    <x:col min="13" max="13" width="18" hidden="0" customWidth="1"/>
  </x:cols>
  <x:sheetData>
    <x:row r="2">
      <x:c r="A2" s="1" t="str">
        <x:v>Calibration comparison and reconciliation</x:v>
      </x:c>
      <x:c r="B2" s="1"/>
      <x:c r="C2" s="1"/>
      <x:c r="D2" s="1"/>
      <x:c r="E2" s="1"/>
      <x:c r="F2" s="1"/>
      <x:c r="G2" s="1"/>
      <x:c r="H2" s="1"/>
      <x:c r="I2" s="1"/>
      <x:c r="J2" s="1"/>
      <x:c r="K2" s="1"/>
      <x:c r="L2" s="1"/>
      <x:c r="M2" s="1"/>
    </x:row>
    <x:row r="3">
      <x:c r="A3" s="2"/>
      <x:c r="B3" s="2"/>
      <x:c r="C3" s="2"/>
      <x:c r="D3" s="2"/>
      <x:c r="E3" s="2"/>
      <x:c r="F3" s="2"/>
      <x:c r="G3" s="2"/>
      <x:c r="H3" s="2"/>
      <x:c r="I3" s="2"/>
      <x:c r="J3" s="2"/>
      <x:c r="K3" s="2"/>
      <x:c r="L3" s="2"/>
      <x:c r="M3" s="2"/>
    </x:row>
    <x:row r="4">
      <x:c r="A4" s="19" t="str">
        <x:v>Item ID</x:v>
      </x:c>
      <x:c r="B4" s="20" t="str">
        <x:v>Dimension</x:v>
      </x:c>
      <x:c r="C4" s="20" t="str">
        <x:v>Neutral example</x:v>
      </x:c>
      <x:c r="D4" s="20" t="str">
        <x:v>Draft intended score</x:v>
      </x:c>
      <x:c r="E4" s="20" t="str">
        <x:v>AUTHOR score</x:v>
      </x:c>
      <x:c r="F4" s="20" t="str">
        <x:v>PRACTITIONER-01 score</x:v>
      </x:c>
      <x:c r="G4" s="20" t="str">
        <x:v>PRACTITIONER-02 score</x:v>
      </x:c>
      <x:c r="H4" s="20" t="str">
        <x:v>Final agreed score</x:v>
      </x:c>
      <x:c r="I4" s="20" t="str">
        <x:v>All raters affirm?</x:v>
      </x:c>
      <x:c r="J4" s="20" t="str">
        <x:v>Rubric change?</x:v>
      </x:c>
      <x:c r="K4" s="20" t="str">
        <x:v>Agreed interpretation or exact wording change</x:v>
      </x:c>
      <x:c r="L4" s="20" t="str">
        <x:v>Discussion notes</x:v>
      </x:c>
      <x:c r="M4" s="21" t="str">
        <x:v>Status</x:v>
      </x:c>
    </x:row>
    <x:row r="5" ht="78" customHeight="1">
      <x:c r="A5" s="24" t="str">
        <x:v>NEUT-8A55868D</x:v>
      </x:c>
      <x:c r="B5" s="24" t="str">
        <x:v>Completeness</x:v>
      </x:c>
      <x:c r="C5" s="24" t="str">
        <x:v>Says only to test document upload thoroughly, without identifying the changed limit or the core success and rejection behaviors.</x:v>
      </x:c>
      <x:c r="D5" s="28" t="n">
        <x:v>1</x:v>
      </x:c>
      <x:c r="E5" s="29" t="n">
        <x:v>1</x:v>
      </x:c>
      <x:c r="F5" s="29" t="n">
        <x:v>1</x:v>
      </x:c>
      <x:c r="G5" s="29" t="n">
        <x:v>1</x:v>
      </x:c>
      <x:c r="H5" s="29" t="n">
        <x:v>1</x:v>
      </x:c>
      <x:c r="I5" s="29" t="str">
        <x:v>YES</x:v>
      </x:c>
      <x:c r="J5" s="29" t="str">
        <x:v>NO</x:v>
      </x:c>
      <x:c r="K5" s="26" t="str">
        <x:v>All three raters affirmed score 1 under the Completeness anchor; no wording change required.</x:v>
      </x:c>
      <x:c r="L5" s="26" t="str">
        <x:v>Unanimous independent scores; jointly reviewed on 2026-09-14.</x:v>
      </x:c>
      <x:c r="M5" s="24" t="str">
        <x:f>IF(COUNTA(E5:K5)=7,"Complete","Missing fields")</x:f>
        <x:v>Complete</x:v>
      </x:c>
    </x:row>
    <x:row r="6" ht="78" customHeight="1">
      <x:c r="A6" s="25" t="str">
        <x:v>NEUT-564D8782</x:v>
      </x:c>
      <x:c r="B6" s="25" t="str">
        <x:v>Completeness</x:v>
      </x:c>
      <x:c r="C6" s="25" t="str">
        <x:v>Tests only successful 25 MB PDF upload and a file above 25 MB. Critical DOCX and antivirus/storage behavior are absent.</x:v>
      </x:c>
      <x:c r="D6" s="30" t="n">
        <x:v>2</x:v>
      </x:c>
      <x:c r="E6" s="31" t="n">
        <x:v>2</x:v>
      </x:c>
      <x:c r="F6" s="31" t="n">
        <x:v>2</x:v>
      </x:c>
      <x:c r="G6" s="31" t="n">
        <x:v>2</x:v>
      </x:c>
      <x:c r="H6" s="31" t="n">
        <x:v>2</x:v>
      </x:c>
      <x:c r="I6" s="31" t="str">
        <x:v>YES</x:v>
      </x:c>
      <x:c r="J6" s="31" t="str">
        <x:v>NO</x:v>
      </x:c>
      <x:c r="K6" s="27" t="str">
        <x:v>All three raters affirmed score 2 under the Completeness anchor; no wording change required.</x:v>
      </x:c>
      <x:c r="L6" s="27" t="str">
        <x:v>Unanimous independent scores; jointly reviewed on 2026-09-14.</x:v>
      </x:c>
      <x:c r="M6" s="25" t="str">
        <x:f>IF(COUNTA(E6:K6)=7,"Complete","Missing fields")</x:f>
        <x:v>Complete</x:v>
      </x:c>
    </x:row>
    <x:row r="7" ht="78" customHeight="1">
      <x:c r="A7" s="25" t="str">
        <x:v>NEUT-73892CED</x:v>
      </x:c>
      <x:c r="B7" s="25" t="str">
        <x:v>Completeness</x:v>
      </x:c>
      <x:c r="C7" s="25" t="str">
        <x:v>Covers valid uploads and the 25 MB boundary but omits scanner-unavailable behavior and one secondary regression area. The core is usable with supplementation.</x:v>
      </x:c>
      <x:c r="D7" s="30" t="n">
        <x:v>3</x:v>
      </x:c>
      <x:c r="E7" s="31" t="n">
        <x:v>3</x:v>
      </x:c>
      <x:c r="F7" s="31" t="n">
        <x:v>3</x:v>
      </x:c>
      <x:c r="G7" s="31" t="n">
        <x:v>3</x:v>
      </x:c>
      <x:c r="H7" s="31" t="n">
        <x:v>3</x:v>
      </x:c>
      <x:c r="I7" s="31" t="str">
        <x:v>YES</x:v>
      </x:c>
      <x:c r="J7" s="31" t="str">
        <x:v>NO</x:v>
      </x:c>
      <x:c r="K7" s="27" t="str">
        <x:v>All three raters affirmed score 3 under the Completeness anchor; no wording change required.</x:v>
      </x:c>
      <x:c r="L7" s="27" t="str">
        <x:v>Unanimous independent scores; jointly reviewed on 2026-09-14.</x:v>
      </x:c>
      <x:c r="M7" s="25" t="str">
        <x:f>IF(COUNTA(E7:K7)=7,"Complete","Missing fields")</x:f>
        <x:v>Complete</x:v>
      </x:c>
    </x:row>
    <x:row r="8" ht="78" customHeight="1">
      <x:c r="A8" s="25" t="str">
        <x:v>NEUT-F0B24B52</x:v>
      </x:c>
      <x:c r="B8" s="25" t="str">
        <x:v>Completeness</x:v>
      </x:c>
      <x:c r="C8" s="25" t="str">
        <x:v>Covers all critical paths but omits one minor regression check, such as a representative file well below 10 MB.</x:v>
      </x:c>
      <x:c r="D8" s="30" t="n">
        <x:v>4</x:v>
      </x:c>
      <x:c r="E8" s="31" t="n">
        <x:v>4</x:v>
      </x:c>
      <x:c r="F8" s="31" t="n">
        <x:v>4</x:v>
      </x:c>
      <x:c r="G8" s="31" t="n">
        <x:v>4</x:v>
      </x:c>
      <x:c r="H8" s="31" t="n">
        <x:v>4</x:v>
      </x:c>
      <x:c r="I8" s="31" t="str">
        <x:v>YES</x:v>
      </x:c>
      <x:c r="J8" s="31" t="str">
        <x:v>NO</x:v>
      </x:c>
      <x:c r="K8" s="27" t="str">
        <x:v>All three raters affirmed score 4 under the Completeness anchor; no wording change required.</x:v>
      </x:c>
      <x:c r="L8" s="27" t="str">
        <x:v>Unanimous independent scores; jointly reviewed on 2026-09-14.</x:v>
      </x:c>
      <x:c r="M8" s="25" t="str">
        <x:f>IF(COUNTA(E8:K8)=7,"Complete","Missing fields")</x:f>
        <x:v>Complete</x:v>
      </x:c>
    </x:row>
    <x:row r="9" ht="78" customHeight="1">
      <x:c r="A9" s="25" t="str">
        <x:v>NEUT-B7B66914</x:v>
      </x:c>
      <x:c r="B9" s="25" t="str">
        <x:v>Completeness</x:v>
      </x:c>
      <x:c r="C9" s="25" t="str">
        <x:v>Covers both formats, all size boundaries, success/failure messages, scanner and storage paths, failure handling, regression below 10 MB, and both material clarification needs.</x:v>
      </x:c>
      <x:c r="D9" s="30" t="n">
        <x:v>5</x:v>
      </x:c>
      <x:c r="E9" s="31" t="n">
        <x:v>5</x:v>
      </x:c>
      <x:c r="F9" s="31" t="n">
        <x:v>5</x:v>
      </x:c>
      <x:c r="G9" s="31" t="n">
        <x:v>5</x:v>
      </x:c>
      <x:c r="H9" s="31" t="n">
        <x:v>5</x:v>
      </x:c>
      <x:c r="I9" s="31" t="str">
        <x:v>YES</x:v>
      </x:c>
      <x:c r="J9" s="31" t="str">
        <x:v>NO</x:v>
      </x:c>
      <x:c r="K9" s="27" t="str">
        <x:v>All three raters affirmed score 5 under the Completeness anchor; no wording change required.</x:v>
      </x:c>
      <x:c r="L9" s="27" t="str">
        <x:v>Unanimous independent scores; jointly reviewed on 2026-09-14.</x:v>
      </x:c>
      <x:c r="M9" s="25" t="str">
        <x:f>IF(COUNTA(E9:K9)=7,"Complete","Missing fields")</x:f>
        <x:v>Complete</x:v>
      </x:c>
    </x:row>
    <x:row r="10" ht="78" customHeight="1">
      <x:c r="A10" s="25" t="str">
        <x:v>NEUT-BF48EC9E</x:v>
      </x:c>
      <x:c r="B10" s="25" t="str">
        <x:v>Specificity</x:v>
      </x:c>
      <x:c r="C10" s="25" t="str">
        <x:v>Perform functional, regression, and integration testing.</x:v>
      </x:c>
      <x:c r="D10" s="30" t="n">
        <x:v>1</x:v>
      </x:c>
      <x:c r="E10" s="31" t="n">
        <x:v>1</x:v>
      </x:c>
      <x:c r="F10" s="31" t="n">
        <x:v>1</x:v>
      </x:c>
      <x:c r="G10" s="31" t="n">
        <x:v>1</x:v>
      </x:c>
      <x:c r="H10" s="31" t="n">
        <x:v>1</x:v>
      </x:c>
      <x:c r="I10" s="31" t="str">
        <x:v>YES</x:v>
      </x:c>
      <x:c r="J10" s="31" t="str">
        <x:v>NO</x:v>
      </x:c>
      <x:c r="K10" s="27" t="str">
        <x:v>All three raters affirmed score 1 under the Specificity anchor; no wording change required.</x:v>
      </x:c>
      <x:c r="L10" s="27" t="str">
        <x:v>Unanimous independent scores; jointly reviewed on 2026-09-14.</x:v>
      </x:c>
      <x:c r="M10" s="25" t="str">
        <x:f>IF(COUNTA(E10:K10)=7,"Complete","Missing fields")</x:f>
        <x:v>Complete</x:v>
      </x:c>
    </x:row>
    <x:row r="11" ht="78" customHeight="1">
      <x:c r="A11" s="25" t="str">
        <x:v>NEUT-06DCA0B1</x:v>
      </x:c>
      <x:c r="B11" s="25" t="str">
        <x:v>Specificity</x:v>
      </x:c>
      <x:c r="C11" s="25" t="str">
        <x:v>Test valid, invalid, and edge-case files and verify integrations.</x:v>
      </x:c>
      <x:c r="D11" s="30" t="n">
        <x:v>2</x:v>
      </x:c>
      <x:c r="E11" s="31" t="n">
        <x:v>2</x:v>
      </x:c>
      <x:c r="F11" s="31" t="n">
        <x:v>2</x:v>
      </x:c>
      <x:c r="G11" s="31" t="n">
        <x:v>2</x:v>
      </x:c>
      <x:c r="H11" s="31" t="n">
        <x:v>2</x:v>
      </x:c>
      <x:c r="I11" s="31" t="str">
        <x:v>YES</x:v>
      </x:c>
      <x:c r="J11" s="31" t="str">
        <x:v>NO</x:v>
      </x:c>
      <x:c r="K11" s="27" t="str">
        <x:v>All three raters affirmed score 2 under the Specificity anchor; no wording change required.</x:v>
      </x:c>
      <x:c r="L11" s="27" t="str">
        <x:v>Unanimous independent scores; jointly reviewed on 2026-09-14.</x:v>
      </x:c>
      <x:c r="M11" s="25" t="str">
        <x:f>IF(COUNTA(E11:K11)=7,"Complete","Missing fields")</x:f>
        <x:v>Complete</x:v>
      </x:c>
    </x:row>
    <x:row r="12" ht="78" customHeight="1">
      <x:c r="A12" s="25" t="str">
        <x:v>NEUT-1C41FCDE</x:v>
      </x:c>
      <x:c r="B12" s="25" t="str">
        <x:v>Specificity</x:v>
      </x:c>
      <x:c r="C12" s="25" t="str">
        <x:v>Test just below, at, and above 25 MB for both formats and verify correct behavior.</x:v>
      </x:c>
      <x:c r="D12" s="30" t="n">
        <x:v>3</x:v>
      </x:c>
      <x:c r="E12" s="31" t="n">
        <x:v>3</x:v>
      </x:c>
      <x:c r="F12" s="31" t="n">
        <x:v>3</x:v>
      </x:c>
      <x:c r="G12" s="31" t="n">
        <x:v>3</x:v>
      </x:c>
      <x:c r="H12" s="31" t="n">
        <x:v>3</x:v>
      </x:c>
      <x:c r="I12" s="31" t="str">
        <x:v>YES</x:v>
      </x:c>
      <x:c r="J12" s="31" t="str">
        <x:v>NO</x:v>
      </x:c>
      <x:c r="K12" s="27" t="str">
        <x:v>All three raters affirmed score 3 under the Specificity anchor; no wording change required.</x:v>
      </x:c>
      <x:c r="L12" s="27" t="str">
        <x:v>Unanimous independent scores; jointly reviewed on 2026-09-14.</x:v>
      </x:c>
      <x:c r="M12" s="25" t="str">
        <x:f>IF(COUNTA(E12:K12)=7,"Complete","Missing fields")</x:f>
        <x:v>Complete</x:v>
      </x:c>
    </x:row>
    <x:row r="13" ht="78" customHeight="1">
      <x:c r="A13" s="25" t="str">
        <x:v>NEUT-9030CD8F</x:v>
      </x:c>
      <x:c r="B13" s="25" t="str">
        <x:v>Specificity</x:v>
      </x:c>
      <x:c r="C13" s="25" t="str">
        <x:v>Test exact boundary values for both formats and verify accept/reject results, but do not specify how storage success will be observed.</x:v>
      </x:c>
      <x:c r="D13" s="30" t="n">
        <x:v>4</x:v>
      </x:c>
      <x:c r="E13" s="31" t="n">
        <x:v>4</x:v>
      </x:c>
      <x:c r="F13" s="31" t="n">
        <x:v>4</x:v>
      </x:c>
      <x:c r="G13" s="31" t="n">
        <x:v>4</x:v>
      </x:c>
      <x:c r="H13" s="31" t="n">
        <x:v>4</x:v>
      </x:c>
      <x:c r="I13" s="31" t="str">
        <x:v>YES</x:v>
      </x:c>
      <x:c r="J13" s="31" t="str">
        <x:v>NO</x:v>
      </x:c>
      <x:c r="K13" s="27" t="str">
        <x:v>All three raters affirmed score 4 under the Specificity anchor; no wording change required.</x:v>
      </x:c>
      <x:c r="L13" s="27" t="str">
        <x:v>Unanimous independent scores; jointly reviewed on 2026-09-14.</x:v>
      </x:c>
      <x:c r="M13" s="25" t="str">
        <x:f>IF(COUNTA(E13:K13)=7,"Complete","Missing fields")</x:f>
        <x:v>Complete</x:v>
      </x:c>
    </x:row>
    <x:row r="14" ht="78" customHeight="1">
      <x:c r="A14" s="25" t="str">
        <x:v>NEUT-83E2C89C</x:v>
      </x:c>
      <x:c r="B14" s="25" t="str">
        <x:v>Specificity</x:v>
      </x:c>
      <x:c r="C14" s="25" t="str">
        <x:v>Upload 24.99 MB, 25.00 MB, and 25.01 MB PDF and DOCX files; verify the first two reach scanning and storage and the last is rejected with the documented size-limit message.</x:v>
      </x:c>
      <x:c r="D14" s="30" t="n">
        <x:v>5</x:v>
      </x:c>
      <x:c r="E14" s="31" t="n">
        <x:v>5</x:v>
      </x:c>
      <x:c r="F14" s="31" t="n">
        <x:v>5</x:v>
      </x:c>
      <x:c r="G14" s="31" t="n">
        <x:v>5</x:v>
      </x:c>
      <x:c r="H14" s="31" t="n">
        <x:v>5</x:v>
      </x:c>
      <x:c r="I14" s="31" t="str">
        <x:v>YES</x:v>
      </x:c>
      <x:c r="J14" s="31" t="str">
        <x:v>NO</x:v>
      </x:c>
      <x:c r="K14" s="27" t="str">
        <x:v>All three raters affirmed score 5 under the Specificity anchor; no wording change required.</x:v>
      </x:c>
      <x:c r="L14" s="27" t="str">
        <x:v>Unanimous independent scores; jointly reviewed on 2026-09-14.</x:v>
      </x:c>
      <x:c r="M14" s="25" t="str">
        <x:f>IF(COUNTA(E14:K14)=7,"Complete","Missing fields")</x:f>
        <x:v>Complete</x:v>
      </x:c>
    </x:row>
    <x:row r="15" ht="78" customHeight="1">
      <x:c r="A15" s="25" t="str">
        <x:v>NEUT-81E68B60</x:v>
      </x:c>
      <x:c r="B15" s="25" t="str">
        <x:v>Risk Calibration</x:v>
      </x:c>
      <x:c r="C15" s="25" t="str">
        <x:v>Recommends no depth or an invalid value, or treats the change as requiring no testing despite its downstream path.</x:v>
      </x:c>
      <x:c r="D15" s="30" t="n">
        <x:v>1</x:v>
      </x:c>
      <x:c r="E15" s="31" t="n">
        <x:v>1</x:v>
      </x:c>
      <x:c r="F15" s="31" t="n">
        <x:v>1</x:v>
      </x:c>
      <x:c r="G15" s="31" t="n">
        <x:v>1</x:v>
      </x:c>
      <x:c r="H15" s="31" t="n">
        <x:v>1</x:v>
      </x:c>
      <x:c r="I15" s="31" t="str">
        <x:v>YES</x:v>
      </x:c>
      <x:c r="J15" s="31" t="str">
        <x:v>NO</x:v>
      </x:c>
      <x:c r="K15" s="27" t="str">
        <x:v>All three raters affirmed score 1 under the Risk Calibration anchor; no wording change required.</x:v>
      </x:c>
      <x:c r="L15" s="27" t="str">
        <x:v>Unanimous independent scores; jointly reviewed on 2026-09-14.</x:v>
      </x:c>
      <x:c r="M15" s="25" t="str">
        <x:f>IF(COUNTA(E15:K15)=7,"Complete","Missing fields")</x:f>
        <x:v>Complete</x:v>
      </x:c>
    </x:row>
    <x:row r="16" ht="78" customHeight="1">
      <x:c r="A16" s="25" t="str">
        <x:v>NEUT-71333023</x:v>
      </x:c>
      <x:c r="B16" s="25" t="str">
        <x:v>Risk Calibration</x:v>
      </x:c>
      <x:c r="C16" s="25" t="str">
        <x:v>Recommends LOW because only one number changed, ignoring the scanner and storage path.</x:v>
      </x:c>
      <x:c r="D16" s="30" t="n">
        <x:v>2</x:v>
      </x:c>
      <x:c r="E16" s="31" t="n">
        <x:v>2</x:v>
      </x:c>
      <x:c r="F16" s="31" t="n">
        <x:v>2</x:v>
      </x:c>
      <x:c r="G16" s="31" t="n">
        <x:v>2</x:v>
      </x:c>
      <x:c r="H16" s="31" t="n">
        <x:v>2</x:v>
      </x:c>
      <x:c r="I16" s="31" t="str">
        <x:v>YES</x:v>
      </x:c>
      <x:c r="J16" s="31" t="str">
        <x:v>NO</x:v>
      </x:c>
      <x:c r="K16" s="27" t="str">
        <x:v>All three raters affirmed score 2 under the Risk Calibration anchor; no wording change required.</x:v>
      </x:c>
      <x:c r="L16" s="27" t="str">
        <x:v>Unanimous independent scores; jointly reviewed on 2026-09-14.</x:v>
      </x:c>
      <x:c r="M16" s="25" t="str">
        <x:f>IF(COUNTA(E16:K16)=7,"Complete","Missing fields")</x:f>
        <x:v>Complete</x:v>
      </x:c>
    </x:row>
    <x:row r="17" ht="78" customHeight="1">
      <x:c r="A17" s="25" t="str">
        <x:v>NEUT-6D051013</x:v>
      </x:c>
      <x:c r="B17" s="25" t="str">
        <x:v>Risk Calibration</x:v>
      </x:c>
      <x:c r="C17" s="25" t="str">
        <x:v>Recommends HIGH because of malware and storage risk. The one-level increase is defensible, but broader regression is not clearly warranted.</x:v>
      </x:c>
      <x:c r="D17" s="30" t="n">
        <x:v>3</x:v>
      </x:c>
      <x:c r="E17" s="31" t="n">
        <x:v>3</x:v>
      </x:c>
      <x:c r="F17" s="31" t="n">
        <x:v>3</x:v>
      </x:c>
      <x:c r="G17" s="31" t="n">
        <x:v>3</x:v>
      </x:c>
      <x:c r="H17" s="31" t="n">
        <x:v>3</x:v>
      </x:c>
      <x:c r="I17" s="31" t="str">
        <x:v>YES</x:v>
      </x:c>
      <x:c r="J17" s="31" t="str">
        <x:v>NO</x:v>
      </x:c>
      <x:c r="K17" s="27" t="str">
        <x:v>All three raters affirmed score 3 under the Risk Calibration anchor; no wording change required.</x:v>
      </x:c>
      <x:c r="L17" s="27" t="str">
        <x:v>Unanimous independent scores; jointly reviewed on 2026-09-14.</x:v>
      </x:c>
      <x:c r="M17" s="25" t="str">
        <x:f>IF(COUNTA(E17:K17)=7,"Complete","Missing fields")</x:f>
        <x:v>Complete</x:v>
      </x:c>
    </x:row>
    <x:row r="18" ht="78" customHeight="1">
      <x:c r="A18" s="25" t="str">
        <x:v>NEUT-52917430</x:v>
      </x:c>
      <x:c r="B18" s="25" t="str">
        <x:v>Risk Calibration</x:v>
      </x:c>
      <x:c r="C18" s="25" t="str">
        <x:v>Recommends MEDIUM with a sound but generic explanation that the change affects upload validation and connected services.</x:v>
      </x:c>
      <x:c r="D18" s="30" t="n">
        <x:v>4</x:v>
      </x:c>
      <x:c r="E18" s="31" t="n">
        <x:v>4</x:v>
      </x:c>
      <x:c r="F18" s="31" t="n">
        <x:v>4</x:v>
      </x:c>
      <x:c r="G18" s="31" t="n">
        <x:v>4</x:v>
      </x:c>
      <x:c r="H18" s="31" t="n">
        <x:v>4</x:v>
      </x:c>
      <x:c r="I18" s="31" t="str">
        <x:v>YES</x:v>
      </x:c>
      <x:c r="J18" s="31" t="str">
        <x:v>NO</x:v>
      </x:c>
      <x:c r="K18" s="27" t="str">
        <x:v>All three raters affirmed score 4 under the Risk Calibration anchor; no wording change required.</x:v>
      </x:c>
      <x:c r="L18" s="27" t="str">
        <x:v>Unanimous independent scores; jointly reviewed on 2026-09-14.</x:v>
      </x:c>
      <x:c r="M18" s="25" t="str">
        <x:f>IF(COUNTA(E18:K18)=7,"Complete","Missing fields")</x:f>
        <x:v>Complete</x:v>
      </x:c>
    </x:row>
    <x:row r="19" ht="78" customHeight="1">
      <x:c r="A19" s="25" t="str">
        <x:v>NEUT-BE87554C</x:v>
      </x:c>
      <x:c r="B19" s="25" t="str">
        <x:v>Risk Calibration</x:v>
      </x:c>
      <x:c r="C19" s="25" t="str">
        <x:v>Recommends MEDIUM and explains that a bounded configuration change affects validation plus two downstream services and failure handling.</x:v>
      </x:c>
      <x:c r="D19" s="30" t="n">
        <x:v>5</x:v>
      </x:c>
      <x:c r="E19" s="31" t="n">
        <x:v>5</x:v>
      </x:c>
      <x:c r="F19" s="31" t="n">
        <x:v>5</x:v>
      </x:c>
      <x:c r="G19" s="31" t="n">
        <x:v>5</x:v>
      </x:c>
      <x:c r="H19" s="31" t="n">
        <x:v>5</x:v>
      </x:c>
      <x:c r="I19" s="31" t="str">
        <x:v>YES</x:v>
      </x:c>
      <x:c r="J19" s="31" t="str">
        <x:v>NO</x:v>
      </x:c>
      <x:c r="K19" s="27" t="str">
        <x:v>All three raters affirmed score 5 under the Risk Calibration anchor; no wording change required.</x:v>
      </x:c>
      <x:c r="L19" s="27" t="str">
        <x:v>Unanimous independent scores; jointly reviewed on 2026-09-14.</x:v>
      </x:c>
      <x:c r="M19" s="25" t="str">
        <x:f>IF(COUNTA(E19:K19)=7,"Complete","Missing fields")</x:f>
        <x:v>Complete</x:v>
      </x:c>
    </x:row>
    <x:row r="20" ht="78" customHeight="1">
      <x:c r="A20" s="25" t="str">
        <x:v>NEUT-D125AD2F</x:v>
      </x:c>
      <x:c r="B20" s="25" t="str">
        <x:v>Integration Awareness</x:v>
      </x:c>
      <x:c r="C20" s="25" t="str">
        <x:v>Omits the scanner and storage path or invents an unrelated payment service as the primary integration.</x:v>
      </x:c>
      <x:c r="D20" s="30" t="n">
        <x:v>1</x:v>
      </x:c>
      <x:c r="E20" s="31" t="n">
        <x:v>1</x:v>
      </x:c>
      <x:c r="F20" s="31" t="n">
        <x:v>1</x:v>
      </x:c>
      <x:c r="G20" s="31" t="n">
        <x:v>1</x:v>
      </x:c>
      <x:c r="H20" s="31" t="n">
        <x:v>1</x:v>
      </x:c>
      <x:c r="I20" s="31" t="str">
        <x:v>YES</x:v>
      </x:c>
      <x:c r="J20" s="31" t="str">
        <x:v>NO</x:v>
      </x:c>
      <x:c r="K20" s="27" t="str">
        <x:v>All three raters affirmed score 1 under the Integration Awareness anchor; no wording change required.</x:v>
      </x:c>
      <x:c r="L20" s="27" t="str">
        <x:v>Unanimous independent scores; jointly reviewed on 2026-09-14.</x:v>
      </x:c>
      <x:c r="M20" s="25" t="str">
        <x:f>IF(COUNTA(E20:K20)=7,"Complete","Missing fields")</x:f>
        <x:v>Complete</x:v>
      </x:c>
    </x:row>
    <x:row r="21" ht="78" customHeight="1">
      <x:c r="A21" s="25" t="str">
        <x:v>NEUT-1A264F04</x:v>
      </x:c>
      <x:c r="B21" s="25" t="str">
        <x:v>Integration Awareness</x:v>
      </x:c>
      <x:c r="C21" s="25" t="str">
        <x:v>Verify that the upload integrates with backend services, without testing either side of a concrete boundary.</x:v>
      </x:c>
      <x:c r="D21" s="30" t="n">
        <x:v>2</x:v>
      </x:c>
      <x:c r="E21" s="31" t="n">
        <x:v>2</x:v>
      </x:c>
      <x:c r="F21" s="31" t="n">
        <x:v>2</x:v>
      </x:c>
      <x:c r="G21" s="31" t="n">
        <x:v>2</x:v>
      </x:c>
      <x:c r="H21" s="31" t="n">
        <x:v>2</x:v>
      </x:c>
      <x:c r="I21" s="31" t="str">
        <x:v>YES</x:v>
      </x:c>
      <x:c r="J21" s="31" t="str">
        <x:v>NO</x:v>
      </x:c>
      <x:c r="K21" s="27" t="str">
        <x:v>All three raters affirmed score 2 under the Integration Awareness anchor; no wording change required.</x:v>
      </x:c>
      <x:c r="L21" s="27" t="str">
        <x:v>Unanimous independent scores; jointly reviewed on 2026-09-14.</x:v>
      </x:c>
      <x:c r="M21" s="25" t="str">
        <x:f>IF(COUNTA(E21:K21)=7,"Complete","Missing fields")</x:f>
        <x:v>Complete</x:v>
      </x:c>
    </x:row>
    <x:row r="22" ht="78" customHeight="1">
      <x:c r="A22" s="25" t="str">
        <x:v>NEUT-78AE84D2</x:v>
      </x:c>
      <x:c r="B22" s="25" t="str">
        <x:v>Integration Awareness</x:v>
      </x:c>
      <x:c r="C22" s="25" t="str">
        <x:v>Covers the normal scanner-to-storage path but omits scanner outage or failure propagation.</x:v>
      </x:c>
      <x:c r="D22" s="30" t="n">
        <x:v>3</x:v>
      </x:c>
      <x:c r="E22" s="31" t="n">
        <x:v>3</x:v>
      </x:c>
      <x:c r="F22" s="31" t="n">
        <x:v>3</x:v>
      </x:c>
      <x:c r="G22" s="31" t="n">
        <x:v>3</x:v>
      </x:c>
      <x:c r="H22" s="31" t="n">
        <x:v>3</x:v>
      </x:c>
      <x:c r="I22" s="31" t="str">
        <x:v>YES</x:v>
      </x:c>
      <x:c r="J22" s="31" t="str">
        <x:v>NO</x:v>
      </x:c>
      <x:c r="K22" s="27" t="str">
        <x:v>All three raters affirmed score 3 under the Integration Awareness anchor; no wording change required.</x:v>
      </x:c>
      <x:c r="L22" s="27" t="str">
        <x:v>Unanimous independent scores; jointly reviewed on 2026-09-14.</x:v>
      </x:c>
      <x:c r="M22" s="25" t="str">
        <x:f>IF(COUNTA(E22:K22)=7,"Complete","Missing fields")</x:f>
        <x:v>Complete</x:v>
      </x:c>
    </x:row>
    <x:row r="23" ht="78" customHeight="1">
      <x:c r="A23" s="25" t="str">
        <x:v>NEUT-5FF01E1F</x:v>
      </x:c>
      <x:c r="B23" s="25" t="str">
        <x:v>Integration Awareness</x:v>
      </x:c>
      <x:c r="C23" s="25" t="str">
        <x:v>Covers scanner and object-store boundaries and user-visible results but omits one secondary timeout or retry consequence.</x:v>
      </x:c>
      <x:c r="D23" s="30" t="n">
        <x:v>4</x:v>
      </x:c>
      <x:c r="E23" s="31" t="n">
        <x:v>4</x:v>
      </x:c>
      <x:c r="F23" s="31" t="n">
        <x:v>4</x:v>
      </x:c>
      <x:c r="G23" s="31" t="n">
        <x:v>4</x:v>
      </x:c>
      <x:c r="H23" s="31" t="n">
        <x:v>4</x:v>
      </x:c>
      <x:c r="I23" s="31" t="str">
        <x:v>YES</x:v>
      </x:c>
      <x:c r="J23" s="31" t="str">
        <x:v>NO</x:v>
      </x:c>
      <x:c r="K23" s="27" t="str">
        <x:v>All three raters affirmed score 4 under the Integration Awareness anchor; no wording change required.</x:v>
      </x:c>
      <x:c r="L23" s="27" t="str">
        <x:v>Unanimous independent scores; jointly reviewed on 2026-09-14.</x:v>
      </x:c>
      <x:c r="M23" s="25" t="str">
        <x:f>IF(COUNTA(E23:K23)=7,"Complete","Missing fields")</x:f>
        <x:v>Complete</x:v>
      </x:c>
    </x:row>
    <x:row r="24" ht="78" customHeight="1">
      <x:c r="A24" s="25" t="str">
        <x:v>NEUT-7FE673E1</x:v>
      </x:c>
      <x:c r="B24" s="25" t="str">
        <x:v>Integration Awareness</x:v>
      </x:c>
      <x:c r="C24" s="25" t="str">
        <x:v>Tests portal-to-scanner handoff, scanner result return, portal-to-object-store persistence, failures at each boundary, and the user-visible final state.</x:v>
      </x:c>
      <x:c r="D24" s="30" t="n">
        <x:v>5</x:v>
      </x:c>
      <x:c r="E24" s="31" t="n">
        <x:v>5</x:v>
      </x:c>
      <x:c r="F24" s="31" t="n">
        <x:v>5</x:v>
      </x:c>
      <x:c r="G24" s="31" t="n">
        <x:v>5</x:v>
      </x:c>
      <x:c r="H24" s="31" t="n">
        <x:v>5</x:v>
      </x:c>
      <x:c r="I24" s="31" t="str">
        <x:v>YES</x:v>
      </x:c>
      <x:c r="J24" s="31" t="str">
        <x:v>NO</x:v>
      </x:c>
      <x:c r="K24" s="27" t="str">
        <x:v>All three raters affirmed score 5 under the Integration Awareness anchor; no wording change required.</x:v>
      </x:c>
      <x:c r="L24" s="27" t="str">
        <x:v>Unanimous independent scores; jointly reviewed on 2026-09-14.</x:v>
      </x:c>
      <x:c r="M24" s="25" t="str">
        <x:f>IF(COUNTA(E24:K24)=7,"Complete","Missing fields")</x:f>
        <x:v>Complete</x:v>
      </x:c>
    </x:row>
    <x:row r="25" ht="78" customHeight="1">
      <x:c r="A25" s="25" t="str">
        <x:v>NEUT-8B5C7BDD</x:v>
      </x:c>
      <x:c r="B25" s="25" t="str">
        <x:v>Clarification Flag Quality</x:v>
      </x:c>
      <x:c r="C25" s="25" t="str">
        <x:v>Supplies no flags despite unresolved scanner failure behavior, or asks wholly irrelevant questions.</x:v>
      </x:c>
      <x:c r="D25" s="30" t="n">
        <x:v>1</x:v>
      </x:c>
      <x:c r="E25" s="31" t="n">
        <x:v>1</x:v>
      </x:c>
      <x:c r="F25" s="31" t="n">
        <x:v>1</x:v>
      </x:c>
      <x:c r="G25" s="31" t="n">
        <x:v>1</x:v>
      </x:c>
      <x:c r="H25" s="31" t="n">
        <x:v>1</x:v>
      </x:c>
      <x:c r="I25" s="31" t="str">
        <x:v>YES</x:v>
      </x:c>
      <x:c r="J25" s="31" t="str">
        <x:v>NO</x:v>
      </x:c>
      <x:c r="K25" s="27" t="str">
        <x:v>All three raters affirmed score 1 under the Clarification Flag Quality anchor; no wording change required.</x:v>
      </x:c>
      <x:c r="L25" s="27" t="str">
        <x:v>Unanimous independent scores; jointly reviewed on 2026-09-14.</x:v>
      </x:c>
      <x:c r="M25" s="25" t="str">
        <x:f>IF(COUNTA(E25:K25)=7,"Complete","Missing fields")</x:f>
        <x:v>Complete</x:v>
      </x:c>
    </x:row>
    <x:row r="26" ht="78" customHeight="1">
      <x:c r="A26" s="25" t="str">
        <x:v>NEUT-D01BB7AE</x:v>
      </x:c>
      <x:c r="B26" s="25" t="str">
        <x:v>Clarification Flag Quality</x:v>
      </x:c>
      <x:c r="C26" s="25" t="str">
        <x:v>Asks who owns the feature and whether documentation exists while material ambiguity remains.</x:v>
      </x:c>
      <x:c r="D26" s="30" t="n">
        <x:v>2</x:v>
      </x:c>
      <x:c r="E26" s="31" t="n">
        <x:v>2</x:v>
      </x:c>
      <x:c r="F26" s="31" t="n">
        <x:v>2</x:v>
      </x:c>
      <x:c r="G26" s="31" t="n">
        <x:v>2</x:v>
      </x:c>
      <x:c r="H26" s="31" t="n">
        <x:v>2</x:v>
      </x:c>
      <x:c r="I26" s="31" t="str">
        <x:v>YES</x:v>
      </x:c>
      <x:c r="J26" s="31" t="str">
        <x:v>NO</x:v>
      </x:c>
      <x:c r="K26" s="27" t="str">
        <x:v>All three raters affirmed score 2 under the Clarification Flag Quality anchor; no wording change required.</x:v>
      </x:c>
      <x:c r="L26" s="27" t="str">
        <x:v>Unanimous independent scores; jointly reviewed on 2026-09-14.</x:v>
      </x:c>
      <x:c r="M26" s="25" t="str">
        <x:f>IF(COUNTA(E26:K26)=7,"Complete","Missing fields")</x:f>
        <x:v>Complete</x:v>
      </x:c>
    </x:row>
    <x:row r="27" ht="78" customHeight="1">
      <x:c r="A27" s="25" t="str">
        <x:v>NEUT-8BE6CB97</x:v>
      </x:c>
      <x:c r="B27" s="25" t="str">
        <x:v>Clarification Flag Quality</x:v>
      </x:c>
      <x:c r="C27" s="25" t="str">
        <x:v>Asks what happens when scanning fails but omits timeout/retry behavior and adds one low-value generic question.</x:v>
      </x:c>
      <x:c r="D27" s="30" t="n">
        <x:v>3</x:v>
      </x:c>
      <x:c r="E27" s="31" t="n">
        <x:v>3</x:v>
      </x:c>
      <x:c r="F27" s="31" t="n">
        <x:v>3</x:v>
      </x:c>
      <x:c r="G27" s="31" t="n">
        <x:v>3</x:v>
      </x:c>
      <x:c r="H27" s="31" t="n">
        <x:v>3</x:v>
      </x:c>
      <x:c r="I27" s="31" t="str">
        <x:v>YES</x:v>
      </x:c>
      <x:c r="J27" s="31" t="str">
        <x:v>NO</x:v>
      </x:c>
      <x:c r="K27" s="27" t="str">
        <x:v>All three raters affirmed score 3 under the Clarification Flag Quality anchor; no wording change required.</x:v>
      </x:c>
      <x:c r="L27" s="27" t="str">
        <x:v>Unanimous independent scores; jointly reviewed on 2026-09-14.</x:v>
      </x:c>
      <x:c r="M27" s="25" t="str">
        <x:f>IF(COUNTA(E27:K27)=7,"Complete","Missing fields")</x:f>
        <x:v>Complete</x:v>
      </x:c>
    </x:row>
    <x:row r="28" ht="78" customHeight="1">
      <x:c r="A28" s="25" t="str">
        <x:v>NEUT-08488A5F</x:v>
      </x:c>
      <x:c r="B28" s="25" t="str">
        <x:v>Clarification Flag Quality</x:v>
      </x:c>
      <x:c r="C28" s="25" t="str">
        <x:v>Asks both material questions, but one is worded broadly and needs a small follow-up.</x:v>
      </x:c>
      <x:c r="D28" s="30" t="n">
        <x:v>4</x:v>
      </x:c>
      <x:c r="E28" s="31" t="n">
        <x:v>4</x:v>
      </x:c>
      <x:c r="F28" s="31" t="n">
        <x:v>4</x:v>
      </x:c>
      <x:c r="G28" s="31" t="n">
        <x:v>4</x:v>
      </x:c>
      <x:c r="H28" s="31" t="n">
        <x:v>4</x:v>
      </x:c>
      <x:c r="I28" s="31" t="str">
        <x:v>YES</x:v>
      </x:c>
      <x:c r="J28" s="31" t="str">
        <x:v>NO</x:v>
      </x:c>
      <x:c r="K28" s="27" t="str">
        <x:v>All three raters affirmed score 4 under the Clarification Flag Quality anchor; no wording change required.</x:v>
      </x:c>
      <x:c r="L28" s="27" t="str">
        <x:v>Unanimous independent scores; jointly reviewed on 2026-09-14.</x:v>
      </x:c>
      <x:c r="M28" s="25" t="str">
        <x:f>IF(COUNTA(E28:K28)=7,"Complete","Missing fields")</x:f>
        <x:v>Complete</x:v>
      </x:c>
    </x:row>
    <x:row r="29" ht="78" customHeight="1">
      <x:c r="A29" s="25" t="str">
        <x:v>NEUT-FE456814</x:v>
      </x:c>
      <x:c r="B29" s="25" t="str">
        <x:v>Clarification Flag Quality</x:v>
      </x:c>
      <x:c r="C29" s="25" t="str">
        <x:v>Asks for the exact timeout/retry behavior and the required user/system outcome when antivirus scanning is unavailable.</x:v>
      </x:c>
      <x:c r="D29" s="30" t="n">
        <x:v>5</x:v>
      </x:c>
      <x:c r="E29" s="31" t="n">
        <x:v>5</x:v>
      </x:c>
      <x:c r="F29" s="31" t="n">
        <x:v>5</x:v>
      </x:c>
      <x:c r="G29" s="31" t="n">
        <x:v>5</x:v>
      </x:c>
      <x:c r="H29" s="31" t="n">
        <x:v>5</x:v>
      </x:c>
      <x:c r="I29" s="31" t="str">
        <x:v>YES</x:v>
      </x:c>
      <x:c r="J29" s="31" t="str">
        <x:v>NO</x:v>
      </x:c>
      <x:c r="K29" s="27" t="str">
        <x:v>All three raters affirmed score 5 under the Clarification Flag Quality anchor; no wording change required.</x:v>
      </x:c>
      <x:c r="L29" s="27" t="str">
        <x:v>Unanimous independent scores; jointly reviewed on 2026-09-14.</x:v>
      </x:c>
      <x:c r="M29" s="25" t="str">
        <x:f>IF(COUNTA(E29:K29)=7,"Complete","Missing fields")</x:f>
        <x:v>Complete</x:v>
      </x:c>
    </x:row>
  </x:sheetData>
  <x:dataValidations count="2">
    <x:dataValidation type="list" sqref="E5:H29">
      <x:formula1>"1,2,3,4,5"</x:formula1>
    </x:dataValidation>
    <x:dataValidation type="list" sqref="I5:J29">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0" hidden="0" customWidth="1"/>
    <x:col min="2" max="2" width="70" hidden="0" customWidth="1"/>
    <x:col min="3" max="3" width="65" hidden="0" customWidth="1"/>
  </x:cols>
  <x:sheetData>
    <x:row r="2">
      <x:c r="A2" s="1" t="str">
        <x:v>Rubric freeze record</x:v>
      </x:c>
      <x:c r="B2" s="1"/>
      <x:c r="C2" s="1"/>
      <x:c r="D2" s="1"/>
      <x:c r="E2" s="1"/>
      <x:c r="F2" s="1"/>
      <x:c r="G2" s="1"/>
      <x:c r="H2" s="1"/>
    </x:row>
    <x:row r="3">
      <x:c r="A3" s="2"/>
      <x:c r="B3" s="2"/>
      <x:c r="C3" s="2"/>
      <x:c r="D3" s="2"/>
      <x:c r="E3" s="2"/>
      <x:c r="F3" s="2"/>
      <x:c r="G3" s="2"/>
      <x:c r="H3" s="2"/>
    </x:row>
    <x:row r="4">
      <x:c r="A4" s="19" t="str">
        <x:v>Required record</x:v>
      </x:c>
      <x:c r="B4" s="20" t="str">
        <x:v>Entry</x:v>
      </x:c>
      <x:c r="C4" s="21" t="str">
        <x:v>Notes</x:v>
      </x:c>
    </x:row>
    <x:row r="5" ht="42" customHeight="1">
      <x:c r="A5" s="24" t="str">
        <x:v>Calibration meeting date</x:v>
      </x:c>
      <x:c r="B5" s="36" t="n">
        <x:v>46279</x:v>
      </x:c>
      <x:c r="C5" s="26" t="str">
        <x:v>Joint review and affirmation completed.</x:v>
      </x:c>
    </x:row>
    <x:row r="6" ht="42" customHeight="1">
      <x:c r="A6" s="25" t="str">
        <x:v>Participant coded IDs</x:v>
      </x:c>
      <x:c r="B6" s="27" t="str">
        <x:v>AUTHOR; PRACTITIONER-01; PRACTITIONER-02</x:v>
      </x:c>
      <x:c r="C6" s="27" t="str">
        <x:v>Coded rater identifiers only.</x:v>
      </x:c>
    </x:row>
    <x:row r="7" ht="42" customHeight="1">
      <x:c r="A7" s="25" t="str">
        <x:v>Three independent files archived and hashed</x:v>
      </x:c>
      <x:c r="B7" s="27" t="str">
        <x:v>YES</x:v>
      </x:c>
      <x:c r="C7" s="27" t="str">
        <x:v>All three completed workbooks are archived; hashes are recorded in the kit manifest.</x:v>
      </x:c>
    </x:row>
    <x:row r="8" ht="42" customHeight="1">
      <x:c r="A8" s="25" t="str">
        <x:v>No study output used during calibration</x:v>
      </x:c>
      <x:c r="B8" s="27" t="str">
        <x:v>YES</x:v>
      </x:c>
      <x:c r="C8" s="27" t="str">
        <x:v>Confirmed by the author following the joint reconciliation.</x:v>
      </x:c>
    </x:row>
    <x:row r="9" ht="42" customHeight="1">
      <x:c r="A9" s="25" t="str">
        <x:v>All 25 rows scored by all three raters</x:v>
      </x:c>
      <x:c r="B9" s="27" t="str">
        <x:v>YES</x:v>
      </x:c>
      <x:c r="C9" s="27" t="str">
        <x:v>25 items per rater; 75 valid source scores imported by opaque item ID.</x:v>
      </x:c>
    </x:row>
    <x:row r="10" ht="42" customHeight="1">
      <x:c r="A10" s="25" t="str">
        <x:v>All score differences discussed</x:v>
      </x:c>
      <x:c r="B10" s="27" t="str">
        <x:v>YES</x:v>
      </x:c>
      <x:c r="C10" s="27" t="str">
        <x:v>No score differences existed; all unanimous rows were jointly reviewed.</x:v>
      </x:c>
    </x:row>
    <x:row r="11" ht="42" customHeight="1">
      <x:c r="A11" s="25" t="str">
        <x:v>All final calibration decisions affirmed</x:v>
      </x:c>
      <x:c r="B11" s="27" t="str">
        <x:v>YES</x:v>
      </x:c>
      <x:c r="C11" s="27" t="str">
        <x:v>All three raters affirmed all 25 final calibration decisions.</x:v>
      </x:c>
    </x:row>
    <x:row r="12" ht="42" customHeight="1">
      <x:c r="A12" s="25" t="str">
        <x:v>Approved wording changes applied</x:v>
      </x:c>
      <x:c r="B12" s="27" t="str">
        <x:v>YES</x:v>
      </x:c>
      <x:c r="C12" s="27" t="str">
        <x:v>No wording changes were approved; the calibrated draft anchor wording was retained.</x:v>
      </x:c>
    </x:row>
    <x:row r="13" ht="42" customHeight="1">
      <x:c r="A13" s="25" t="str">
        <x:v>Final rubric filename</x:v>
      </x:c>
      <x:c r="B13" s="27" t="str">
        <x:v>rubric-v1-final.md</x:v>
      </x:c>
      <x:c r="C13" s="27" t="str">
        <x:v>Final rubric stored under research/revision_protocol/ratings/.</x:v>
      </x:c>
    </x:row>
    <x:row r="14" ht="42" customHeight="1">
      <x:c r="A14" s="25" t="str">
        <x:v>Final rubric SHA-256</x:v>
      </x:c>
      <x:c r="B14" s="27" t="str">
        <x:v>dcf39358be89355afc013cdccf55888ca5a96b02862e763c5c39a9acb07b2355</x:v>
      </x:c>
      <x:c r="C14" s="27" t="str">
        <x:v>SHA-256 calculated after the final rubric file was created.</x:v>
      </x:c>
    </x:row>
    <x:row r="15" ht="42" customHeight="1">
      <x:c r="A15" s="25" t="str">
        <x:v>Freeze date</x:v>
      </x:c>
      <x:c r="B15" s="37" t="n">
        <x:v>46279</x:v>
      </x:c>
      <x:c r="C15" s="27" t="str">
        <x:v>The frozen rubric must not be edited in place.</x:v>
      </x:c>
    </x:row>
    <x:row r="16" ht="42" customHeight="1">
      <x:c r="A16" s="25" t="str">
        <x:v>Overall status</x:v>
      </x:c>
      <x:c r="B16" s="25" t="str">
        <x:f>IF(AND(COUNTIFS(B7:B12,"YES")=6,COUNTA(B5:B15)=11),"Ready to freeze","Incomplete")</x:f>
        <x:v>Ready to freeze</x:v>
      </x:c>
      <x:c r="C16" s="25"/>
    </x:row>
  </x:sheetData>
  <x:dataValidations count="1">
    <x:dataValidation type="list" sqref="B7:B12">
      <x:formula1>"YES,NO"</x:formula1>
    </x:dataValidation>
  </x:dataValidations>
  <x:pageMargins left="0.7" right="0.7" top="0.75" bottom="0.75" header="0.3" footer="0.3"/>
</x:worksheet>
</file>

<file path=xl/worksheets/sheet4.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4" t="str">
        <x:v>Specification</x:v>
      </x:c>
      <x:c r="B5" s="24"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5" t="str">
        <x:v>Agreed reference</x:v>
      </x:c>
      <x:c r="B6" s="25"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5" t="str">
        <x:v>Study-output exclusion</x:v>
      </x:c>
      <x:c r="B7" s="25" t="str">
        <x:v>This case is not one of the 18 study specifications and none of its examples is among the 486 study outputs.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19" t="str">
        <x:v>Dimension</x:v>
      </x:c>
      <x:c r="B4" s="20" t="str">
        <x:v>Score</x:v>
      </x:c>
      <x:c r="C4" s="21" t="str">
        <x:v>Anchor</x:v>
      </x:c>
    </x:row>
    <x:row r="5" ht="54" customHeight="1">
      <x:c r="A5" s="24" t="str">
        <x:v>Completeness</x:v>
      </x:c>
      <x:c r="B5" s="28" t="n">
        <x:v>1</x:v>
      </x:c>
      <x:c r="C5" s="24" t="str">
        <x:v>Misses the core changed behavior or most relevant test types. The proposed scope is fundamentally inadequate or largely unrelated.</x:v>
      </x:c>
    </x:row>
    <x:row r="6" ht="54" customHeight="1">
      <x:c r="A6" s="25" t="str">
        <x:v>Completeness</x:v>
      </x:c>
      <x:c r="B6" s="30" t="n">
        <x:v>2</x:v>
      </x:c>
      <x:c r="C6" s="25" t="str">
        <x:v>Misses a critical element or multiple important areas. The plan would create a meaningful coverage risk without substantial additions.</x:v>
      </x:c>
    </x:row>
    <x:row r="7" ht="54" customHeight="1">
      <x:c r="A7" s="25" t="str">
        <x:v>Completeness</x:v>
      </x:c>
      <x:c r="B7" s="30" t="n">
        <x:v>3</x:v>
      </x:c>
      <x:c r="C7" s="25" t="str">
        <x:v>Covers the core changed behavior and the main test type, but misses one important secondary area or several minor elements. The plan remains usable with supplementation.</x:v>
      </x:c>
    </x:row>
    <x:row r="8" ht="54" customHeight="1">
      <x:c r="A8" s="25" t="str">
        <x:v>Completeness</x:v>
      </x:c>
      <x:c r="B8" s="30" t="n">
        <x:v>4</x:v>
      </x:c>
      <x:c r="C8" s="25" t="str">
        <x:v>Covers every critical element and nearly all important elements. At most one minor or narrowly bounded gap remains.</x:v>
      </x:c>
    </x:row>
    <x:row r="9" ht="54" customHeight="1">
      <x:c r="A9" s="25" t="str">
        <x:v>Completeness</x:v>
      </x:c>
      <x:c r="B9" s="30" t="n">
        <x:v>5</x:v>
      </x:c>
      <x:c r="C9" s="25" t="str">
        <x:v>Covers every critical and important consensus element across all relevant test types. No material gap remains.</x:v>
      </x:c>
    </x:row>
    <x:row r="10" ht="54" customHeight="1">
      <x:c r="A10" s="25" t="str">
        <x:v>Specificity</x:v>
      </x:c>
      <x:c r="B10" s="30" t="n">
        <x:v>1</x:v>
      </x:c>
      <x:c r="C10" s="25" t="str">
        <x:v>The content is predominantly boilerplate, tautological, internally incoherent, or too vague to guide test design.</x:v>
      </x:c>
    </x:row>
    <x:row r="11" ht="54" customHeight="1">
      <x:c r="A11" s="25" t="str">
        <x:v>Specificity</x:v>
      </x:c>
      <x:c r="B11" s="30" t="n">
        <x:v>2</x:v>
      </x:c>
      <x:c r="C11" s="25" t="str">
        <x:v>Most items are category labels or generic directives such as test edge cases or verify integration. Significant interpretation is needed before execution.</x:v>
      </x:c>
    </x:row>
    <x:row r="12" ht="54" customHeight="1">
      <x:c r="A12" s="25" t="str">
        <x:v>Specificity</x:v>
      </x:c>
      <x:c r="B12" s="30" t="n">
        <x:v>3</x:v>
      </x:c>
      <x:c r="C12" s="25" t="str">
        <x:v>The core items are understandable, but concrete inputs, boundaries, system states, or expected results are inconsistently supplied. Moderate interpretation is needed.</x:v>
      </x:c>
    </x:row>
    <x:row r="13" ht="54" customHeight="1">
      <x:c r="A13" s="25" t="str">
        <x:v>Specificity</x:v>
      </x:c>
      <x:c r="B13" s="30" t="n">
        <x:v>4</x:v>
      </x:c>
      <x:c r="C13" s="25" t="str">
        <x:v>The recommendation is actionable overall. Most material items contain concrete scenarios and outcomes, with only minor vagueness or a few generic supporting items.</x:v>
      </x:c>
    </x:row>
    <x:row r="14" ht="54" customHeight="1">
      <x:c r="A14" s="25" t="str">
        <x:v>Specificity</x:v>
      </x:c>
      <x:c r="B14" s="30" t="n">
        <x:v>5</x:v>
      </x:c>
      <x:c r="C14" s="25" t="str">
        <x:v>Nearly every material item identifies a concrete behavior or scenario, relevant context or boundary, and an observable expected result. Minimal interpretation is needed.</x:v>
      </x:c>
    </x:row>
    <x:row r="15" ht="54" customHeight="1">
      <x:c r="A15" s="25" t="str">
        <x:v>Risk Calibration</x:v>
      </x:c>
      <x:c r="B15" s="30" t="n">
        <x:v>1</x:v>
      </x:c>
      <x:c r="C15" s="25" t="str">
        <x:v>Depth differs by two levels, is absent or invalid, or is plainly incompatible with the scale and the change's risk.</x:v>
      </x:c>
    </x:row>
    <x:row r="16" ht="54" customHeight="1">
      <x:c r="A16" s="25" t="str">
        <x:v>Risk Calibration</x:v>
      </x:c>
      <x:c r="B16" s="30" t="n">
        <x:v>2</x:v>
      </x:c>
      <x:c r="C16" s="25" t="str">
        <x:v>Depth differs by one level without a sound case, or matches only superficially while the justification materially misreads the risk.</x:v>
      </x:c>
    </x:row>
    <x:row r="17" ht="54" customHeight="1">
      <x:c r="A17" s="25" t="str">
        <x:v>Risk Calibration</x:v>
      </x:c>
      <x:c r="B17" s="30" t="n">
        <x:v>3</x:v>
      </x:c>
      <x:c r="C17" s="25" t="str">
        <x:v>Depth differs by one level but is reasonably defensible from recorded ambiguity, or matches while the justification is materially weak or partly contradictory.</x:v>
      </x:c>
    </x:row>
    <x:row r="18" ht="54" customHeight="1">
      <x:c r="A18" s="25" t="str">
        <x:v>Risk Calibration</x:v>
      </x:c>
      <x:c r="B18" s="30" t="n">
        <x:v>4</x:v>
      </x:c>
      <x:c r="C18" s="25" t="str">
        <x:v>Depth exactly matches consensus and the justification is sound but incomplete or somewhat generic.</x:v>
      </x:c>
    </x:row>
    <x:row r="19" ht="54" customHeight="1">
      <x:c r="A19" s="25" t="str">
        <x:v>Risk Calibration</x:v>
      </x:c>
      <x:c r="B19" s="30" t="n">
        <x:v>5</x:v>
      </x:c>
      <x:c r="C19" s="25" t="str">
        <x:v>Depth exactly matches consensus and the justification accurately connects change type, impact, breadth, and material failure risks.</x:v>
      </x:c>
    </x:row>
    <x:row r="20" ht="54" customHeight="1">
      <x:c r="A20" s="25" t="str">
        <x:v>Integration Awareness</x:v>
      </x:c>
      <x:c r="B20" s="30" t="n">
        <x:v>1</x:v>
      </x:c>
      <x:c r="C20" s="25" t="str">
        <x:v>Integration considerations are absent, substantially incorrect, or replaced by invented systems that obscure the actual boundary.</x:v>
      </x:c>
    </x:row>
    <x:row r="21" ht="54" customHeight="1">
      <x:c r="A21" s="25" t="str">
        <x:v>Integration Awareness</x:v>
      </x:c>
      <x:c r="B21" s="30" t="n">
        <x:v>2</x:v>
      </x:c>
      <x:c r="C21" s="25" t="str">
        <x:v>Mentions integration only at a surface level, tests one side of the boundary, or misses a critical dependency.</x:v>
      </x:c>
    </x:row>
    <x:row r="22" ht="54" customHeight="1">
      <x:c r="A22" s="25" t="str">
        <x:v>Integration Awareness</x:v>
      </x:c>
      <x:c r="B22" s="30" t="n">
        <x:v>3</x:v>
      </x:c>
      <x:c r="C22" s="25" t="str">
        <x:v>Covers the main end-to-end path but misses an important secondary dependency, failure path, or downstream effect.</x:v>
      </x:c>
    </x:row>
    <x:row r="23" ht="54" customHeight="1">
      <x:c r="A23" s="25" t="str">
        <x:v>Integration Awareness</x:v>
      </x:c>
      <x:c r="B23" s="30" t="n">
        <x:v>4</x:v>
      </x:c>
      <x:c r="C23" s="25" t="str">
        <x:v>Covers every critical boundary and most important dependencies, with at most one minor touchpoint or consequence omitted.</x:v>
      </x:c>
    </x:row>
    <x:row r="24" ht="54" customHeight="1">
      <x:c r="A24" s="25" t="str">
        <x:v>Integration Awareness</x:v>
      </x:c>
      <x:c r="B24" s="30" t="n">
        <x:v>5</x:v>
      </x:c>
      <x:c r="C24" s="25" t="str">
        <x:v>Identifies every critical and important consensus integration boundary and states how behavior or data should be checked across each one.</x:v>
      </x:c>
    </x:row>
    <x:row r="25" ht="54" customHeight="1">
      <x:c r="A25" s="25" t="str">
        <x:v>Clarification Flag Quality</x:v>
      </x:c>
      <x:c r="B25" s="30" t="n">
        <x:v>1</x:v>
      </x:c>
      <x:c r="C25" s="25" t="str">
        <x:v>Provides no useful question despite a critical ambiguity, or the flags are wholly irrelevant, fabricated, or boilerplate.</x:v>
      </x:c>
    </x:row>
    <x:row r="26" ht="54" customHeight="1">
      <x:c r="A26" s="25" t="str">
        <x:v>Clarification Flag Quality</x:v>
      </x:c>
      <x:c r="B26" s="30" t="n">
        <x:v>2</x:v>
      </x:c>
      <x:c r="C26" s="25" t="str">
        <x:v>Questions are mostly generic, already answered, or low-impact; or a material ambiguity is left unflagged.</x:v>
      </x:c>
    </x:row>
    <x:row r="27" ht="54" customHeight="1">
      <x:c r="A27" s="25" t="str">
        <x:v>Clarification Flag Quality</x:v>
      </x:c>
      <x:c r="B27" s="30" t="n">
        <x:v>3</x:v>
      </x:c>
      <x:c r="C27" s="25" t="str">
        <x:v>Includes at least one useful question but mixes it with generic items, or misses another important ambiguity.</x:v>
      </x:c>
    </x:row>
    <x:row r="28" ht="54" customHeight="1">
      <x:c r="A28" s="25" t="str">
        <x:v>Clarification Flag Quality</x:v>
      </x:c>
      <x:c r="B28" s="30" t="n">
        <x:v>4</x:v>
      </x:c>
      <x:c r="C28" s="25" t="str">
        <x:v>Captures the most important ambiguities. One minor question is missing, vague, or low-value.</x:v>
      </x:c>
    </x:row>
    <x:row r="29" ht="54" customHeight="1">
      <x:c r="A29" s="25" t="str">
        <x:v>Clarification Flag Quality</x:v>
      </x:c>
      <x:c r="B29" s="30" t="n">
        <x:v>5</x:v>
      </x:c>
      <x:c r="C29" s="25" t="str">
        <x:v>Captures all material consensus ambiguities with targeted, actionable questions and no distracting boilerplate.</x:v>
      </x:c>
    </x:row>
  </x:sheetData>
  <x:pageMargins left="0.7" right="0.7" top="0.75" bottom="0.75" header="0.3" footer="0.3"/>
</x:worksheet>
</file>