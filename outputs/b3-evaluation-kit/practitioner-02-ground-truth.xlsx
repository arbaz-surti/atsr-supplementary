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dd0bb6fb5d419c" /></Relationships>
</file>

<file path=xl/workbook.xml><?xml version="1.0" encoding="utf-8"?>
<x:workbook xmlns:x="http://schemas.openxmlformats.org/spreadsheetml/2006/main">
  <x:sheets>
    <x:sheet xmlns:r="http://schemas.openxmlformats.org/officeDocument/2006/relationships" name="Read First" sheetId="1" r:id="R0e531a62a6c84988"/>
    <x:sheet xmlns:r="http://schemas.openxmlformats.org/officeDocument/2006/relationships" name="Ground Truth" sheetId="2" r:id="R9ccd811649db47c5"/>
    <x:sheet xmlns:r="http://schemas.openxmlformats.org/officeDocument/2006/relationships" name="Specifications" sheetId="3" r:id="R01fad6fa7bce4b9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b/>
      <x:sz val="14"/>
      <x:color rgb="FF17365D"/>
      <x:name val="Arial"/>
    </x:font>
    <x:font>
      <x:b/>
      <x:sz val="10"/>
      <x:color rgb="FF595959"/>
      <x:name val="Arial"/>
    </x:font>
    <x:font>
      <x:sz val="10"/>
      <x:color rgb="FF222222"/>
      <x:name val="Arial"/>
    </x:font>
    <x:font>
      <x:b/>
      <x:sz val="10"/>
      <x:color rgb="FF17365D"/>
      <x:name val="Arial"/>
    </x:font>
    <x:font>
      <x:b/>
      <x:sz val="10"/>
      <x:color rgb="FF7F6000"/>
      <x:name val="Arial"/>
    </x:font>
    <x:font>
      <x:sz val="11"/>
      <x:name val="Arial"/>
    </x:font>
    <x:font>
      <x:i/>
      <x:sz val="10"/>
      <x:color rgb="FF595959"/>
      <x:name val="Arial"/>
    </x:font>
    <x:font>
      <x:b/>
      <x:sz val="10"/>
      <x:color rgb="FFFFFFFF"/>
      <x:name val="Arial"/>
    </x:font>
  </x:fonts>
  <x:fills count="7">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EAF2F8"/>
      </x:patternFill>
    </x:fill>
    <x:fill>
      <x:patternFill patternType="solid">
        <x:fgColor rgb="FFE7E6E6"/>
      </x:patternFill>
    </x:fill>
  </x:fills>
  <x:borders count="7">
    <x:border/>
    <x:border>
      <x:bottom style="thin">
        <x:color rgb="FF17365D"/>
      </x:bottom>
    </x:border>
    <x:border>
      <x:right style="thin">
        <x:color rgb="FFFFFFFF"/>
      </x:right>
    </x:border>
    <x:border>
      <x:left style="thin">
        <x:color rgb="FFFFFFFF"/>
      </x:left>
      <x:right style="thin">
        <x:color rgb="FFFFFFFF"/>
      </x:right>
    </x:border>
    <x:border>
      <x:left style="thin">
        <x:color rgb="FFFFFFFF"/>
      </x:left>
    </x:border>
    <x:border>
      <x:bottom style="thin">
        <x:color rgb="FFD9E1F2"/>
      </x:bottom>
    </x:border>
    <x:border>
      <x:top style="thin">
        <x:color rgb="FFD9E1F2"/>
      </x:top>
      <x:bottom style="thin">
        <x:color rgb="FFD9E1F2"/>
      </x:bottom>
    </x:border>
  </x:borders>
  <x:cellStyleXfs count="1">
    <x:xf numFmtId="0" fontId="0" fillId="0" borderId="0"/>
  </x:cellStyleXfs>
  <x:cellXfs count="49">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20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3"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7" fillId="0" borderId="0" xfId="0" applyNumberFormat="1" applyFont="1" applyFill="1" applyBorder="1"/>
    <x:xf numFmtId="0" fontId="7" fillId="0" borderId="0" xfId="0" applyNumberFormat="1" applyFont="1" applyFill="1" applyBorder="1" applyAlignment="1">
      <x:alignment wrapText="0"/>
    </x:xf>
    <x:xf numFmtId="0" fontId="0" fillId="4" borderId="0" xfId="0" applyNumberFormat="1" applyFont="1" applyFill="1" applyBorder="1"/>
    <x:xf numFmtId="0" fontId="8" fillId="4" borderId="0" xfId="0" applyNumberFormat="1" applyFont="1" applyFill="1" applyBorder="1"/>
    <x:xf numFmtId="0" fontId="8" fillId="4" borderId="2" xfId="0" applyNumberFormat="1" applyFont="1" applyFill="1" applyBorder="1"/>
    <x:xf numFmtId="0" fontId="8" fillId="4" borderId="3" xfId="0" applyNumberFormat="1" applyFont="1" applyFill="1" applyBorder="1"/>
    <x:xf numFmtId="0" fontId="8" fillId="4" borderId="4" xfId="0" applyNumberFormat="1" applyFont="1" applyFill="1" applyBorder="1"/>
    <x:xf numFmtId="0" fontId="8" fillId="4" borderId="2" xfId="0" applyNumberFormat="1" applyFont="1" applyFill="1" applyBorder="1" applyAlignment="1">
      <x:alignment wrapText="1"/>
    </x:xf>
    <x:xf numFmtId="0" fontId="8" fillId="4" borderId="3" xfId="0" applyNumberFormat="1" applyFont="1" applyFill="1" applyBorder="1" applyAlignment="1">
      <x:alignment wrapText="1"/>
    </x:xf>
    <x:xf numFmtId="0" fontId="8" fillId="4" borderId="4" xfId="0" applyNumberFormat="1" applyFont="1" applyFill="1" applyBorder="1" applyAlignment="1">
      <x:alignment wrapText="1"/>
    </x:xf>
    <x:xf numFmtId="0" fontId="8" fillId="4" borderId="2" xfId="0" applyNumberFormat="1" applyFont="1" applyFill="1" applyBorder="1" applyAlignment="1">
      <x:alignment horizontal="center" wrapText="1"/>
    </x:xf>
    <x:xf numFmtId="0" fontId="8" fillId="4" borderId="3" xfId="0" applyNumberFormat="1" applyFont="1" applyFill="1" applyBorder="1" applyAlignment="1">
      <x:alignment horizontal="center" wrapText="1"/>
    </x:xf>
    <x:xf numFmtId="0" fontId="8" fillId="4" borderId="4" xfId="0" applyNumberFormat="1" applyFont="1" applyFill="1" applyBorder="1" applyAlignment="1">
      <x:alignment horizontal="center" wrapText="1"/>
    </x:xf>
    <x:xf numFmtId="0" fontId="8" fillId="4" borderId="2" xfId="0" applyNumberFormat="1" applyFont="1" applyFill="1" applyBorder="1" applyAlignment="1">
      <x:alignment horizontal="center" vertical="center" wrapText="1"/>
    </x:xf>
    <x:xf numFmtId="0" fontId="8" fillId="4" borderId="3" xfId="0" applyNumberFormat="1" applyFont="1" applyFill="1" applyBorder="1" applyAlignment="1">
      <x:alignment horizontal="center" vertical="center" wrapText="1"/>
    </x:xf>
    <x:xf numFmtId="0" fontId="8" fillId="4" borderId="4"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5" borderId="5" xfId="0" applyNumberFormat="1" applyFont="1" applyFill="1" applyBorder="1" applyAlignment="1">
      <x:alignment vertical="top" wrapText="1"/>
    </x:xf>
    <x:xf numFmtId="0" fontId="3" fillId="5" borderId="6"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6" borderId="5" xfId="0" applyNumberFormat="1" applyFont="1" applyFill="1" applyBorder="1" applyAlignment="1">
      <x:alignment vertical="top" wrapText="1"/>
    </x:xf>
    <x:xf numFmtId="0" fontId="3" fillId="6" borderId="6" xfId="0" applyNumberFormat="1" applyFont="1" applyFill="1" applyBorder="1" applyAlignment="1">
      <x:alignment vertical="top" wrapText="1"/>
    </x:xf>
    <x:xf numFmtId="0" fontId="3" fillId="5" borderId="5" xfId="0" applyNumberFormat="1" applyFont="1" applyFill="1" applyBorder="1" applyAlignment="1">
      <x:alignment horizontal="center" vertical="top" wrapText="1"/>
    </x:xf>
    <x:xf numFmtId="0" fontId="3" fillId="5" borderId="6" xfId="0" applyNumberFormat="1" applyFont="1" applyFill="1" applyBorder="1" applyAlignment="1">
      <x:alignment horizontal="center" vertical="top" wrapText="1"/>
    </x:xf>
    <x:xf numFmtId="0" fontId="3" fillId="3" borderId="5" xfId="0" applyNumberFormat="1" applyFont="1" applyFill="1" applyBorder="1" applyAlignment="1">
      <x:alignment horizontal="center" vertical="top" wrapText="1"/>
    </x:xf>
    <x:xf numFmtId="0" fontId="3" fillId="3" borderId="6" xfId="0" applyNumberFormat="1" applyFont="1" applyFill="1" applyBorder="1" applyAlignment="1">
      <x:alignment horizontal="center" vertical="top" wrapText="1"/>
    </x:xf>
    <x:xf numFmtId="0" fontId="3" fillId="6" borderId="5" xfId="0" applyNumberFormat="1" applyFont="1" applyFill="1" applyBorder="1" applyAlignment="1">
      <x:alignment horizontal="center" vertical="top" wrapText="1"/>
    </x:xf>
    <x:xf numFmtId="0" fontId="3" fillId="6" borderId="6" xfId="0" applyNumberFormat="1" applyFont="1" applyFill="1" applyBorder="1" applyAlignment="1">
      <x:alignment horizontal="center" vertical="top" wrapText="1"/>
    </x:xf>
    <x:xf numFmtId="0" fontId="3" fillId="0" borderId="5"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cellXfs>
  <x:cellStyles count="1">
    <x:cellStyle name="Normal" xfId="0"/>
  </x:cellStyles>
  <x:dxfs count="2">
    <x:dxf>
      <x:font>
        <x:b/>
        <x:color rgb="FF9C0006"/>
      </x:font>
      <x:fill>
        <x:patternFill patternType="solid">
          <x:bgColor rgb="FFFCE4D6"/>
        </x:patternFill>
      </x:fill>
    </x:dxf>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1b804d5e3140df" /><Relationship Type="http://schemas.openxmlformats.org/officeDocument/2006/relationships/theme" Target="/xl/theme/theme1.xml" Id="R985386871ce94325" /><Relationship Type="http://schemas.openxmlformats.org/officeDocument/2006/relationships/sharedStrings" Target="/xl/sharedStrings.xml" Id="R96efe7367edc4e14" /><Relationship Type="http://schemas.openxmlformats.org/officeDocument/2006/relationships/worksheet" Target="/xl/worksheets/sheet1.xml" Id="R0e531a62a6c84988" /><Relationship Type="http://schemas.openxmlformats.org/officeDocument/2006/relationships/worksheet" Target="/xl/worksheets/sheet2.xml" Id="R9ccd811649db47c5" /><Relationship Type="http://schemas.openxmlformats.org/officeDocument/2006/relationships/worksheet" Target="/xl/worksheets/sheet3.xml" Id="R01fad6fa7bce4b9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42" hidden="0" customWidth="1"/>
    <x:col min="2" max="2" width="7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x:c r="A1" s="13"/>
      <x:c r="B1" s="13"/>
      <x:c r="C1" s="13"/>
      <x:c r="D1" s="13"/>
      <x:c r="E1" s="13"/>
      <x:c r="F1" s="13"/>
      <x:c r="G1" s="13"/>
      <x:c r="H1" s="13"/>
    </x:row>
    <x:row r="2">
      <x:c r="A2" s="1" t="str">
        <x:v>B3 independent ground-truth worksheet</x:v>
      </x:c>
      <x:c r="B2" s="1"/>
      <x:c r="C2" s="1"/>
      <x:c r="D2" s="1"/>
      <x:c r="E2" s="1"/>
      <x:c r="F2" s="1"/>
      <x:c r="G2" s="1"/>
      <x:c r="H2" s="1"/>
    </x:row>
    <x:row r="3">
      <x:c r="A3" s="14"/>
      <x:c r="B3" s="14"/>
      <x:c r="C3" s="14"/>
      <x:c r="D3" s="14"/>
      <x:c r="E3" s="14"/>
      <x:c r="F3" s="14"/>
      <x:c r="G3" s="14"/>
      <x:c r="H3" s="14"/>
    </x:row>
    <x:row r="4">
      <x:c r="A4" s="13"/>
      <x:c r="B4" s="13"/>
      <x:c r="C4" s="13"/>
      <x:c r="D4" s="13"/>
      <x:c r="E4" s="13"/>
      <x:c r="F4" s="13"/>
      <x:c r="G4" s="13"/>
      <x:c r="H4" s="13"/>
    </x:row>
    <x:row r="5">
      <x:c r="A5" s="3" t="str">
        <x:v>Protocol</x:v>
      </x:c>
      <x:c r="B5" s="4" t="str">
        <x:v>ATSR-SREP-R2-v1.0</x:v>
      </x:c>
      <x:c r="C5" s="13"/>
      <x:c r="D5" s="13"/>
      <x:c r="E5" s="13"/>
      <x:c r="F5" s="13"/>
      <x:c r="G5" s="13"/>
      <x:c r="H5" s="13"/>
    </x:row>
    <x:row r="6">
      <x:c r="A6" s="3" t="str">
        <x:v>Rater ID</x:v>
      </x:c>
      <x:c r="B6" s="4" t="str">
        <x:v>PRACTITIONER-02</x:v>
      </x:c>
      <x:c r="C6" s="13"/>
      <x:c r="D6" s="13"/>
      <x:c r="E6" s="13"/>
      <x:c r="F6" s="13"/>
      <x:c r="G6" s="13"/>
      <x:c r="H6" s="13"/>
    </x:row>
    <x:row r="7">
      <x:c r="A7" s="3" t="str">
        <x:v>Specifications</x:v>
      </x:c>
      <x:c r="B7" s="4" t="n">
        <x:v>18</x:v>
      </x:c>
      <x:c r="C7" s="13"/>
      <x:c r="D7" s="13"/>
      <x:c r="E7" s="13"/>
      <x:c r="F7" s="13"/>
      <x:c r="G7" s="13"/>
      <x:c r="H7" s="13"/>
    </x:row>
    <x:row r="8">
      <x:c r="A8" s="3" t="str">
        <x:v>Rows complete</x:v>
      </x:c>
      <x:c r="B8" s="5" t="n">
        <x:f>COUNTIFS('Ground Truth'!M5:M22,"Complete")</x:f>
        <x:v>0</x:v>
      </x:c>
      <x:c r="C8" s="13"/>
      <x:c r="D8" s="13"/>
      <x:c r="E8" s="13"/>
      <x:c r="F8" s="13"/>
      <x:c r="G8" s="13"/>
      <x:c r="H8" s="13"/>
    </x:row>
    <x:row r="9">
      <x:c r="A9" s="3" t="str">
        <x:v>Rows remaining</x:v>
      </x:c>
      <x:c r="B9" s="5" t="n">
        <x:f>18-B8</x:f>
        <x:v>18</x:v>
      </x:c>
      <x:c r="C9" s="13"/>
      <x:c r="D9" s="13"/>
      <x:c r="E9" s="13"/>
      <x:c r="F9" s="13"/>
      <x:c r="G9" s="13"/>
      <x:c r="H9" s="13"/>
    </x:row>
    <x:row r="10">
      <x:c r="A10" s="3" t="str">
        <x:v>Dataset SHA-256</x:v>
      </x:c>
      <x:c r="B10" s="4" t="str">
        <x:v>48d94cce163cf21efa712939bd4334b0a89260434aafe0d83a00cbd2dd3856f0</x:v>
      </x:c>
      <x:c r="C10" s="13"/>
      <x:c r="D10" s="13"/>
      <x:c r="E10" s="13"/>
      <x:c r="F10" s="13"/>
      <x:c r="G10" s="13"/>
      <x:c r="H10" s="13"/>
    </x:row>
    <x:row r="11">
      <x:c r="A11" s="13"/>
      <x:c r="B11" s="13"/>
      <x:c r="C11" s="13"/>
      <x:c r="D11" s="13"/>
      <x:c r="E11" s="13"/>
      <x:c r="F11" s="13"/>
      <x:c r="G11" s="13"/>
      <x:c r="H11" s="13"/>
    </x:row>
    <x:row r="12">
      <x:c r="A12" s="8" t="str">
        <x:v>Instructions</x:v>
      </x:c>
      <x:c r="B12" s="8"/>
      <x:c r="C12" s="8"/>
      <x:c r="D12" s="8"/>
      <x:c r="E12" s="8"/>
      <x:c r="F12" s="8"/>
      <x:c r="G12" s="8"/>
      <x:c r="H12" s="8"/>
    </x:row>
    <x:row r="13" ht="52" customHeight="1">
      <x:c r="A13" s="9" t="str">
        <x:v>1. Work independently and review all 18 specifications before discussing judgments.</x:v>
      </x:c>
      <x:c r="B13" s="9"/>
      <x:c r="C13" s="9"/>
      <x:c r="D13" s="9"/>
      <x:c r="E13" s="9"/>
      <x:c r="F13" s="9"/>
      <x:c r="G13" s="9"/>
      <x:c r="H13" s="9"/>
    </x:row>
    <x:row r="14" ht="52" customHeight="1">
      <x:c r="A14" s="9" t="str">
        <x:v>2. Do not view AI outputs, historical scores, historical author ground truth, or another rater's worksheet.</x:v>
      </x:c>
      <x:c r="B14" s="9"/>
      <x:c r="C14" s="9"/>
      <x:c r="D14" s="9"/>
      <x:c r="E14" s="9"/>
      <x:c r="F14" s="9"/>
      <x:c r="G14" s="9"/>
      <x:c r="H14" s="9"/>
    </x:row>
    <x:row r="15" ht="52" customHeight="1">
      <x:c r="A15" s="9" t="str">
        <x:v>3. Enter one LOW, MEDIUM, or HIGH depth judgment and a short rationale for each specification.</x:v>
      </x:c>
      <x:c r="B15" s="9"/>
      <x:c r="C15" s="9"/>
      <x:c r="D15" s="9"/>
      <x:c r="E15" s="9"/>
      <x:c r="F15" s="9"/>
      <x:c r="G15" s="9"/>
      <x:c r="H15" s="9"/>
    </x:row>
    <x:row r="16" ht="52" customHeight="1">
      <x:c r="A16" s="9" t="str">
        <x:v>4. Enter semicolon-separated essential elements for functional, smoke, regression, integration, exploratory, and clarification scope.</x:v>
      </x:c>
      <x:c r="B16" s="9"/>
      <x:c r="C16" s="9"/>
      <x:c r="D16" s="9"/>
      <x:c r="E16" s="9"/>
      <x:c r="F16" s="9"/>
      <x:c r="G16" s="9"/>
      <x:c r="H16" s="9"/>
    </x:row>
    <x:row r="17" ht="52" customHeight="1">
      <x:c r="A17" s="9" t="str">
        <x:v>5. Use NONE when a category is genuinely irrelevant. Do not leave required fields blank.</x:v>
      </x:c>
      <x:c r="B17" s="9"/>
      <x:c r="C17" s="9"/>
      <x:c r="D17" s="9"/>
      <x:c r="E17" s="9"/>
      <x:c r="F17" s="9"/>
      <x:c r="G17" s="9"/>
      <x:c r="H17" s="9"/>
    </x:row>
    <x:row r="18" ht="52" customHeight="1">
      <x:c r="A18" s="9" t="str">
        <x:v>6. If an essential element depends on professional knowledge not explicit in the specification, record the inferential link under Implicit domain knowledge.</x:v>
      </x:c>
      <x:c r="B18" s="9"/>
      <x:c r="C18" s="9"/>
      <x:c r="D18" s="9"/>
      <x:c r="E18" s="9"/>
      <x:c r="F18" s="9"/>
      <x:c r="G18" s="9"/>
      <x:c r="H18" s="9"/>
    </x:row>
    <x:row r="19" ht="52" customHeight="1">
      <x:c r="A19" s="9" t="str">
        <x:v>7. Use Notes for assumptions or uncertainty. The Status column calculates automatically.</x:v>
      </x:c>
      <x:c r="B19" s="9"/>
      <x:c r="C19" s="9"/>
      <x:c r="D19" s="9"/>
      <x:c r="E19" s="9"/>
      <x:c r="F19" s="9"/>
      <x:c r="G19" s="9"/>
      <x:c r="H19" s="9"/>
    </x:row>
    <x:row r="20" ht="52" customHeight="1">
      <x:c r="A20" s="9" t="str">
        <x:v>8. Return the completed workbook to the researcher without renaming worksheets or changing Spec IDs.</x:v>
      </x:c>
      <x:c r="B20" s="9"/>
      <x:c r="C20" s="9"/>
      <x:c r="D20" s="9"/>
      <x:c r="E20" s="9"/>
      <x:c r="F20" s="9"/>
      <x:c r="G20" s="9"/>
      <x:c r="H20" s="9"/>
    </x:row>
    <x:row r="21">
      <x:c r="A21" s="13"/>
      <x:c r="B21" s="13"/>
      <x:c r="C21" s="13"/>
      <x:c r="D21" s="13"/>
      <x:c r="E21" s="13"/>
      <x:c r="F21" s="13"/>
      <x:c r="G21" s="13"/>
      <x:c r="H21" s="13"/>
    </x:row>
    <x:row r="22" ht="34" customHeight="1">
      <x:c r="A22" s="12" t="str">
        <x:v>Stop after completing this workbook. Model-output rating begins only after consensus and rubric freeze.</x:v>
      </x:c>
      <x:c r="B22" s="12"/>
      <x:c r="C22" s="12"/>
      <x:c r="D22" s="12"/>
      <x:c r="E22" s="12"/>
      <x:c r="F22" s="12"/>
      <x:c r="G22" s="12"/>
      <x:c r="H22" s="12"/>
    </x:row>
    <x:row r="23">
      <x:c r="A23" s="13"/>
      <x:c r="B23" s="13"/>
      <x:c r="C23" s="13"/>
      <x:c r="D23" s="13"/>
      <x:c r="E23" s="13"/>
      <x:c r="F23" s="13"/>
      <x:c r="G23" s="13"/>
      <x:c r="H23" s="13"/>
    </x:row>
    <x:row r="24">
      <x:c r="A24" s="13"/>
      <x:c r="B24" s="13"/>
      <x:c r="C24" s="13"/>
      <x:c r="D24" s="13"/>
      <x:c r="E24" s="13"/>
      <x:c r="F24" s="13"/>
      <x:c r="G24" s="13"/>
      <x:c r="H24" s="13"/>
    </x:row>
    <x:row r="25">
      <x:c r="A25" s="13"/>
      <x:c r="B25" s="13"/>
      <x:c r="C25" s="13"/>
      <x:c r="D25" s="13"/>
      <x:c r="E25" s="13"/>
      <x:c r="F25" s="13"/>
      <x:c r="G25" s="13"/>
      <x:c r="H25" s="13"/>
    </x:row>
  </x:sheetData>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xSplit="2" ySplit="4" topLeftCell="C5" activePane="bottomRight" state="frozen"/>
    </x:sheetView>
  </x:sheetViews>
  <x:sheetFormatPr defaultRowHeight="15"/>
  <x:cols>
    <x:col min="1" max="1" width="12" hidden="0" customWidth="1"/>
    <x:col min="2" max="2" width="34" hidden="0" customWidth="1"/>
    <x:col min="3" max="3" width="16" hidden="0" customWidth="1"/>
    <x:col min="4" max="4" width="34" hidden="0" customWidth="1"/>
    <x:col min="5" max="5" width="30" hidden="0" customWidth="1"/>
    <x:col min="6" max="6" width="34" hidden="0" customWidth="1"/>
    <x:col min="7" max="7" width="34" hidden="0" customWidth="1"/>
    <x:col min="8" max="8" width="32" hidden="0" customWidth="1"/>
    <x:col min="9" max="9" width="34" hidden="0" customWidth="1"/>
    <x:col min="10" max="10" width="32" hidden="0" customWidth="1"/>
    <x:col min="11" max="11" width="34" hidden="0" customWidth="1"/>
    <x:col min="12" max="12" width="30" hidden="0" customWidth="1"/>
    <x:col min="13" max="13" width="16" hidden="0" customWidth="1"/>
  </x:cols>
  <x:sheetData>
    <x:row r="2">
      <x:c r="A2" s="1" t="str">
        <x:v>Independent judgments for 18 specifications</x:v>
      </x:c>
      <x:c r="B2" s="1"/>
      <x:c r="C2" s="1"/>
      <x:c r="D2" s="1"/>
      <x:c r="E2" s="1"/>
      <x:c r="F2" s="1"/>
      <x:c r="G2" s="1"/>
      <x:c r="H2" s="1"/>
      <x:c r="I2" s="1"/>
      <x:c r="J2" s="1"/>
      <x:c r="K2" s="1"/>
      <x:c r="L2" s="1"/>
      <x:c r="M2" s="1"/>
    </x:row>
    <x:row r="3">
      <x:c r="A3" s="16"/>
      <x:c r="B3" s="16"/>
      <x:c r="C3" s="16" t="str">
        <x:v>Yellow cells require participant input. Use semicolons between atomic elements; enter NONE when a category is irrelevant.</x:v>
      </x:c>
      <x:c r="D3" s="16"/>
      <x:c r="E3" s="16"/>
      <x:c r="F3" s="16"/>
      <x:c r="G3" s="16"/>
      <x:c r="H3" s="16"/>
      <x:c r="I3" s="16"/>
      <x:c r="J3" s="16"/>
      <x:c r="K3" s="16"/>
      <x:c r="L3" s="16"/>
      <x:c r="M3" s="16"/>
    </x:row>
    <x:row r="4" ht="45" customHeight="1">
      <x:c r="A4" s="28" t="str">
        <x:v>Spec ID</x:v>
      </x:c>
      <x:c r="B4" s="29" t="str">
        <x:v>Title</x:v>
      </x:c>
      <x:c r="C4" s="29" t="str">
        <x:v>Coverage depth</x:v>
      </x:c>
      <x:c r="D4" s="29" t="str">
        <x:v>Essential functional scope</x:v>
      </x:c>
      <x:c r="E4" s="29" t="str">
        <x:v>Essential smoke scope</x:v>
      </x:c>
      <x:c r="F4" s="29" t="str">
        <x:v>Essential regression scope</x:v>
      </x:c>
      <x:c r="G4" s="29" t="str">
        <x:v>Essential integration scope</x:v>
      </x:c>
      <x:c r="H4" s="29" t="str">
        <x:v>Essential exploratory scope</x:v>
      </x:c>
      <x:c r="I4" s="29" t="str">
        <x:v>Essential clarification needs</x:v>
      </x:c>
      <x:c r="J4" s="29" t="str">
        <x:v>Depth rationale</x:v>
      </x:c>
      <x:c r="K4" s="29" t="str">
        <x:v>Implicit domain knowledge</x:v>
      </x:c>
      <x:c r="L4" s="29" t="str">
        <x:v>Notes or assumptions</x:v>
      </x:c>
      <x:c r="M4" s="30" t="str">
        <x:v>Status</x:v>
      </x:c>
    </x:row>
    <x:row r="5" ht="78" customHeight="1">
      <x:c r="A5" s="41" t="str">
        <x:v>SPEC-01</x:v>
      </x:c>
      <x:c r="B5" s="35" t="str">
        <x:v>Online Ordering Portal Still Shows Menu Item as Available After Overnight Menu Sync</x:v>
      </x:c>
      <x:c r="C5" s="43"/>
      <x:c r="D5" s="37"/>
      <x:c r="E5" s="37"/>
      <x:c r="F5" s="37"/>
      <x:c r="G5" s="37"/>
      <x:c r="H5" s="37"/>
      <x:c r="I5" s="37"/>
      <x:c r="J5" s="37"/>
      <x:c r="K5" s="37"/>
      <x:c r="L5" s="37"/>
      <x:c r="M5" s="45" t="str">
        <x:f>IF(COUNTA(C5:K5)=9,"Complete","Missing fields")</x:f>
        <x:v>Missing fields</x:v>
      </x:c>
    </x:row>
    <x:row r="6" ht="78" customHeight="1">
      <x:c r="A6" s="42" t="str">
        <x:v>SPEC-02</x:v>
      </x:c>
      <x:c r="B6" s="36" t="str">
        <x:v>Payment Device Firmware Update — Quick Chip Reconnection Fix</x:v>
      </x:c>
      <x:c r="C6" s="44"/>
      <x:c r="D6" s="38"/>
      <x:c r="E6" s="38"/>
      <x:c r="F6" s="38"/>
      <x:c r="G6" s="38"/>
      <x:c r="H6" s="38"/>
      <x:c r="I6" s="38"/>
      <x:c r="J6" s="38"/>
      <x:c r="K6" s="38"/>
      <x:c r="L6" s="38"/>
      <x:c r="M6" s="46" t="str">
        <x:f>IF(COUNTA(C6:K6)=9,"Complete","Missing fields")</x:f>
        <x:v>Missing fields</x:v>
      </x:c>
    </x:row>
    <x:row r="7" ht="78" customHeight="1">
      <x:c r="A7" s="42" t="str">
        <x:v>SPEC-03</x:v>
      </x:c>
      <x:c r="B7" s="36" t="str">
        <x:v>New Wi-Fi Access Point Hardware Rollout — Indoor Wi-Fi 7 Model</x:v>
      </x:c>
      <x:c r="C7" s="44"/>
      <x:c r="D7" s="38"/>
      <x:c r="E7" s="38"/>
      <x:c r="F7" s="38"/>
      <x:c r="G7" s="38"/>
      <x:c r="H7" s="38"/>
      <x:c r="I7" s="38"/>
      <x:c r="J7" s="38"/>
      <x:c r="K7" s="38"/>
      <x:c r="L7" s="38"/>
      <x:c r="M7" s="46" t="str">
        <x:f>IF(COUNTA(C7:K7)=9,"Complete","Missing fields")</x:f>
        <x:v>Missing fields</x:v>
      </x:c>
    </x:row>
    <x:row r="8" ht="78" customHeight="1">
      <x:c r="A8" s="42" t="str">
        <x:v>SPEC-04</x:v>
      </x:c>
      <x:c r="B8" s="36" t="str">
        <x:v>New Catering Voucher Tender Key Implementation on POS</x:v>
      </x:c>
      <x:c r="C8" s="44"/>
      <x:c r="D8" s="38"/>
      <x:c r="E8" s="38"/>
      <x:c r="F8" s="38"/>
      <x:c r="G8" s="38"/>
      <x:c r="H8" s="38"/>
      <x:c r="I8" s="38"/>
      <x:c r="J8" s="38"/>
      <x:c r="K8" s="38"/>
      <x:c r="L8" s="38"/>
      <x:c r="M8" s="46" t="str">
        <x:f>IF(COUNTA(C8:K8)=9,"Complete","Missing fields")</x:f>
        <x:v>Missing fields</x:v>
      </x:c>
    </x:row>
    <x:row r="9" ht="78" customHeight="1">
      <x:c r="A9" s="42" t="str">
        <x:v>SPEC-05</x:v>
      </x:c>
      <x:c r="B9" s="36" t="str">
        <x:v>New Extra-Large Beverage Size Addition to Menu</x:v>
      </x:c>
      <x:c r="C9" s="44"/>
      <x:c r="D9" s="38"/>
      <x:c r="E9" s="38"/>
      <x:c r="F9" s="38"/>
      <x:c r="G9" s="38"/>
      <x:c r="H9" s="38"/>
      <x:c r="I9" s="38"/>
      <x:c r="J9" s="38"/>
      <x:c r="K9" s="38"/>
      <x:c r="L9" s="38"/>
      <x:c r="M9" s="46" t="str">
        <x:f>IF(COUNTA(C9:K9)=9,"Complete","Missing fields")</x:f>
        <x:v>Missing fields</x:v>
      </x:c>
    </x:row>
    <x:row r="10" ht="78" customHeight="1">
      <x:c r="A10" s="42" t="str">
        <x:v>SPEC-06</x:v>
      </x:c>
      <x:c r="B10" s="36" t="str">
        <x:v>Menu Item Availability App — Time Window Configuration Enhancement</x:v>
      </x:c>
      <x:c r="C10" s="44"/>
      <x:c r="D10" s="38"/>
      <x:c r="E10" s="38"/>
      <x:c r="F10" s="38"/>
      <x:c r="G10" s="38"/>
      <x:c r="H10" s="38"/>
      <x:c r="I10" s="38"/>
      <x:c r="J10" s="38"/>
      <x:c r="K10" s="38"/>
      <x:c r="L10" s="38"/>
      <x:c r="M10" s="46" t="str">
        <x:f>IF(COUNTA(C10:K10)=9,"Complete","Missing fields")</x:f>
        <x:v>Missing fields</x:v>
      </x:c>
    </x:row>
    <x:row r="11" ht="78" customHeight="1">
      <x:c r="A11" s="42" t="str">
        <x:v>SPEC-08</x:v>
      </x:c>
      <x:c r="B11" s="36" t="str">
        <x:v>Role-Based Access Control — Restrict Void on Empty Check for Fraud Prevention</x:v>
      </x:c>
      <x:c r="C11" s="44"/>
      <x:c r="D11" s="38"/>
      <x:c r="E11" s="38"/>
      <x:c r="F11" s="38"/>
      <x:c r="G11" s="38"/>
      <x:c r="H11" s="38"/>
      <x:c r="I11" s="38"/>
      <x:c r="J11" s="38"/>
      <x:c r="K11" s="38"/>
      <x:c r="L11" s="38"/>
      <x:c r="M11" s="46" t="str">
        <x:f>IF(COUNTA(C11:K11)=9,"Complete","Missing fields")</x:f>
        <x:v>Missing fields</x:v>
      </x:c>
    </x:row>
    <x:row r="12" ht="78" customHeight="1">
      <x:c r="A12" s="42" t="str">
        <x:v>SPEC-09</x:v>
      </x:c>
      <x:c r="B12" s="36" t="str">
        <x:v>Delivery Markup Percentage Update for Third-Party Delivery Platform</x:v>
      </x:c>
      <x:c r="C12" s="44"/>
      <x:c r="D12" s="38"/>
      <x:c r="E12" s="38"/>
      <x:c r="F12" s="38"/>
      <x:c r="G12" s="38"/>
      <x:c r="H12" s="38"/>
      <x:c r="I12" s="38"/>
      <x:c r="J12" s="38"/>
      <x:c r="K12" s="38"/>
      <x:c r="L12" s="38"/>
      <x:c r="M12" s="46" t="str">
        <x:f>IF(COUNTA(C12:K12)=9,"Complete","Missing fields")</x:f>
        <x:v>Missing fields</x:v>
      </x:c>
    </x:row>
    <x:row r="13" ht="78" customHeight="1">
      <x:c r="A13" s="42" t="str">
        <x:v>SPEC-10</x:v>
      </x:c>
      <x:c r="B13" s="36" t="str">
        <x:v>SSL Certificate Renewal for Loyalty Platform Integration</x:v>
      </x:c>
      <x:c r="C13" s="44"/>
      <x:c r="D13" s="38"/>
      <x:c r="E13" s="38"/>
      <x:c r="F13" s="38"/>
      <x:c r="G13" s="38"/>
      <x:c r="H13" s="38"/>
      <x:c r="I13" s="38"/>
      <x:c r="J13" s="38"/>
      <x:c r="K13" s="38"/>
      <x:c r="L13" s="38"/>
      <x:c r="M13" s="46" t="str">
        <x:f>IF(COUNTA(C13:K13)=9,"Complete","Missing fields")</x:f>
        <x:v>Missing fields</x:v>
      </x:c>
    </x:row>
    <x:row r="14" ht="78" customHeight="1">
      <x:c r="A14" s="42" t="str">
        <x:v>SPEC-11</x:v>
      </x:c>
      <x:c r="B14" s="36" t="str">
        <x:v>Mobile App Advance Order — Price Lock Behavior When Item Prices Change Before Fulfillment</x:v>
      </x:c>
      <x:c r="C14" s="44"/>
      <x:c r="D14" s="38"/>
      <x:c r="E14" s="38"/>
      <x:c r="F14" s="38"/>
      <x:c r="G14" s="38"/>
      <x:c r="H14" s="38"/>
      <x:c r="I14" s="38"/>
      <x:c r="J14" s="38"/>
      <x:c r="K14" s="38"/>
      <x:c r="L14" s="38"/>
      <x:c r="M14" s="46" t="str">
        <x:f>IF(COUNTA(C14:K14)=9,"Complete","Missing fields")</x:f>
        <x:v>Missing fields</x:v>
      </x:c>
    </x:row>
    <x:row r="15" ht="78" customHeight="1">
      <x:c r="A15" s="42" t="str">
        <x:v>SPEC-12</x:v>
      </x:c>
      <x:c r="B15" s="36" t="str">
        <x:v>Financial Report Layout Change — Move Third-Party Delivery Detail Section to Bottom</x:v>
      </x:c>
      <x:c r="C15" s="44"/>
      <x:c r="D15" s="38"/>
      <x:c r="E15" s="38"/>
      <x:c r="F15" s="38"/>
      <x:c r="G15" s="38"/>
      <x:c r="H15" s="38"/>
      <x:c r="I15" s="38"/>
      <x:c r="J15" s="38"/>
      <x:c r="K15" s="38"/>
      <x:c r="L15" s="38"/>
      <x:c r="M15" s="46" t="str">
        <x:f>IF(COUNTA(C15:K15)=9,"Complete","Missing fields")</x:f>
        <x:v>Missing fields</x:v>
      </x:c>
    </x:row>
    <x:row r="16" ht="78" customHeight="1">
      <x:c r="A16" s="42" t="str">
        <x:v>SPEC-13</x:v>
      </x:c>
      <x:c r="B16" s="36" t="str">
        <x:v>POS Hierarchy Zone Addition for Full-Menu Non-Traditional Store Locations</x:v>
      </x:c>
      <x:c r="C16" s="44"/>
      <x:c r="D16" s="38"/>
      <x:c r="E16" s="38"/>
      <x:c r="F16" s="38"/>
      <x:c r="G16" s="38"/>
      <x:c r="H16" s="38"/>
      <x:c r="I16" s="38"/>
      <x:c r="J16" s="38"/>
      <x:c r="K16" s="38"/>
      <x:c r="L16" s="38"/>
      <x:c r="M16" s="46" t="str">
        <x:f>IF(COUNTA(C16:K16)=9,"Complete","Missing fields")</x:f>
        <x:v>Missing fields</x:v>
      </x:c>
    </x:row>
    <x:row r="17" ht="78" customHeight="1">
      <x:c r="A17" s="42" t="str">
        <x:v>SPEC-14</x:v>
      </x:c>
      <x:c r="B17" s="36" t="str">
        <x:v>Digital Ordering App Version Upgrade — Multi-Device and Multi-OS Compatibility Testing</x:v>
      </x:c>
      <x:c r="C17" s="44"/>
      <x:c r="D17" s="38"/>
      <x:c r="E17" s="38"/>
      <x:c r="F17" s="38"/>
      <x:c r="G17" s="38"/>
      <x:c r="H17" s="38"/>
      <x:c r="I17" s="38"/>
      <x:c r="J17" s="38"/>
      <x:c r="K17" s="38"/>
      <x:c r="L17" s="38"/>
      <x:c r="M17" s="46" t="str">
        <x:f>IF(COUNTA(C17:K17)=9,"Complete","Missing fields")</x:f>
        <x:v>Missing fields</x:v>
      </x:c>
    </x:row>
    <x:row r="18" ht="78" customHeight="1">
      <x:c r="A18" s="42" t="str">
        <x:v>SPEC-15</x:v>
      </x:c>
      <x:c r="B18" s="36" t="str">
        <x:v>Gift Card Transaction Cancel Messaging Fix — Validate Correct Terminal Display With Cloud Processing Disabled</x:v>
      </x:c>
      <x:c r="C18" s="44"/>
      <x:c r="D18" s="38"/>
      <x:c r="E18" s="38"/>
      <x:c r="F18" s="38"/>
      <x:c r="G18" s="38"/>
      <x:c r="H18" s="38"/>
      <x:c r="I18" s="38"/>
      <x:c r="J18" s="38"/>
      <x:c r="K18" s="38"/>
      <x:c r="L18" s="38"/>
      <x:c r="M18" s="46" t="str">
        <x:f>IF(COUNTA(C18:K18)=9,"Complete","Missing fields")</x:f>
        <x:v>Missing fields</x:v>
      </x:c>
    </x:row>
    <x:row r="19" ht="78" customHeight="1">
      <x:c r="A19" s="42" t="str">
        <x:v>SPEC-16</x:v>
      </x:c>
      <x:c r="B19" s="36" t="str">
        <x:v>Regression Testing for Existing Serialized Coupons After New Promotional BIN Ranges Added</x:v>
      </x:c>
      <x:c r="C19" s="44"/>
      <x:c r="D19" s="38"/>
      <x:c r="E19" s="38"/>
      <x:c r="F19" s="38"/>
      <x:c r="G19" s="38"/>
      <x:c r="H19" s="38"/>
      <x:c r="I19" s="38"/>
      <x:c r="J19" s="38"/>
      <x:c r="K19" s="38"/>
      <x:c r="L19" s="38"/>
      <x:c r="M19" s="46" t="str">
        <x:f>IF(COUNTA(C19:K19)=9,"Complete","Missing fields")</x:f>
        <x:v>Missing fields</x:v>
      </x:c>
    </x:row>
    <x:row r="20" ht="78" customHeight="1">
      <x:c r="A20" s="42" t="str">
        <x:v>SPEC-17</x:v>
      </x:c>
      <x:c r="B20" s="36" t="str">
        <x:v>Antivirus Exclusion Script Deployment for Remote Management Tool — POS Terminal Validation</x:v>
      </x:c>
      <x:c r="C20" s="44"/>
      <x:c r="D20" s="38"/>
      <x:c r="E20" s="38"/>
      <x:c r="F20" s="38"/>
      <x:c r="G20" s="38"/>
      <x:c r="H20" s="38"/>
      <x:c r="I20" s="38"/>
      <x:c r="J20" s="38"/>
      <x:c r="K20" s="38"/>
      <x:c r="L20" s="38"/>
      <x:c r="M20" s="46" t="str">
        <x:f>IF(COUNTA(C20:K20)=9,"Complete","Missing fields")</x:f>
        <x:v>Missing fields</x:v>
      </x:c>
    </x:row>
    <x:row r="21" ht="78" customHeight="1">
      <x:c r="A21" s="42" t="str">
        <x:v>SPEC-18</x:v>
      </x:c>
      <x:c r="B21" s="36" t="str">
        <x:v>POS Crew Notification Feature Enablement on POS Workstations</x:v>
      </x:c>
      <x:c r="C21" s="44"/>
      <x:c r="D21" s="38"/>
      <x:c r="E21" s="38"/>
      <x:c r="F21" s="38"/>
      <x:c r="G21" s="38"/>
      <x:c r="H21" s="38"/>
      <x:c r="I21" s="38"/>
      <x:c r="J21" s="38"/>
      <x:c r="K21" s="38"/>
      <x:c r="L21" s="38"/>
      <x:c r="M21" s="46" t="str">
        <x:f>IF(COUNTA(C21:K21)=9,"Complete","Missing fields")</x:f>
        <x:v>Missing fields</x:v>
      </x:c>
    </x:row>
    <x:row r="22" ht="78" customHeight="1">
      <x:c r="A22" s="42" t="str">
        <x:v>SPEC-19</x:v>
      </x:c>
      <x:c r="B22" s="36" t="str">
        <x:v>Secondary DNS Provider Change — Broad System Regression Across All Network-Dependent Functions</x:v>
      </x:c>
      <x:c r="C22" s="44"/>
      <x:c r="D22" s="38"/>
      <x:c r="E22" s="38"/>
      <x:c r="F22" s="38"/>
      <x:c r="G22" s="38"/>
      <x:c r="H22" s="38"/>
      <x:c r="I22" s="38"/>
      <x:c r="J22" s="38"/>
      <x:c r="K22" s="38"/>
      <x:c r="L22" s="38"/>
      <x:c r="M22" s="46" t="str">
        <x:f>IF(COUNTA(C22:K22)=9,"Complete","Missing fields")</x:f>
        <x:v>Missing fields</x:v>
      </x:c>
    </x:row>
  </x:sheetData>
  <x:conditionalFormatting sqref="M5:M22">
    <x:cfRule type="containsText" dxfId="0" priority="1" operator="containsText" text="Missing fields"/>
    <x:cfRule type="containsText" dxfId="1" priority="2" operator="containsText" text="Complete"/>
  </x:conditionalFormatting>
  <x:dataValidations count="1">
    <x:dataValidation type="list" sqref="C5:C22">
      <x:formula1>"LOW,MEDIUM,HIGH"</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35" hidden="0" customWidth="1"/>
    <x:col min="3" max="3" width="27" hidden="0" customWidth="1"/>
    <x:col min="4" max="4" width="35" hidden="0" customWidth="1"/>
    <x:col min="5" max="5" width="72" hidden="0" customWidth="1"/>
    <x:col min="6" max="6" width="65" hidden="0" customWidth="1"/>
  </x:cols>
  <x:sheetData>
    <x:row r="2">
      <x:c r="A2" s="1" t="str">
        <x:v>Evaluation specifications</x:v>
      </x:c>
      <x:c r="B2" s="1"/>
      <x:c r="C2" s="1"/>
      <x:c r="D2" s="1"/>
      <x:c r="E2" s="1"/>
      <x:c r="F2" s="1"/>
    </x:row>
    <x:row r="3">
      <x:c r="A3" s="16"/>
      <x:c r="B3" s="16" t="str">
        <x:v>Frozen source hash: 48d94cce163cf21efa712939bd4334b0a89260434aafe0d83a00cbd2dd3856f0. Historical ground-truth fields are deliberately excluded.</x:v>
      </x:c>
      <x:c r="C3" s="16"/>
      <x:c r="D3" s="16"/>
      <x:c r="E3" s="16"/>
      <x:c r="F3" s="16"/>
    </x:row>
    <x:row r="4" ht="32" customHeight="1">
      <x:c r="A4" s="28" t="str">
        <x:v>Spec ID</x:v>
      </x:c>
      <x:c r="B4" s="29" t="str">
        <x:v>Title</x:v>
      </x:c>
      <x:c r="C4" s="29" t="str">
        <x:v>Change type</x:v>
      </x:c>
      <x:c r="D4" s="29" t="str">
        <x:v>System area</x:v>
      </x:c>
      <x:c r="E4" s="29" t="str">
        <x:v>Description</x:v>
      </x:c>
      <x:c r="F4" s="30" t="str">
        <x:v>Acceptance criteria</x:v>
      </x:c>
    </x:row>
    <x:row r="5" ht="112" customHeight="1">
      <x:c r="A5" s="47" t="str">
        <x:v>SPEC-01</x:v>
      </x:c>
      <x:c r="B5" s="33" t="str">
        <x:v>Online Ordering Portal Still Shows Menu Item as Available After Overnight Menu Sync</x:v>
      </x:c>
      <x:c r="C5" s="33" t="str">
        <x:v>Bug fix / Integration patch</x:v>
      </x:c>
      <x:c r="D5" s="33" t="str">
        <x:v>POS to online ordering platform integration (menu sync)</x:v>
      </x:c>
      <x:c r="E5" s="33" t="str">
        <x:v>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x:v>
      </x:c>
      <x:c r="F5" s="33" t="str">
        <x:v>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row>
    <x:row r="6" ht="112" customHeight="1">
      <x:c r="A6" s="48" t="str">
        <x:v>SPEC-02</x:v>
      </x:c>
      <x:c r="B6" s="34" t="str">
        <x:v>Payment Device Firmware Update — Quick Chip Reconnection Fix</x:v>
      </x:c>
      <x:c r="C6" s="34" t="str">
        <x:v>Patch (vendor-delivered firmware fix)</x:v>
      </x:c>
      <x:c r="D6" s="34" t="str">
        <x:v>Payment processing / POS to payment terminal integration</x:v>
      </x:c>
      <x:c r="E6" s="34" t="str">
        <x:v>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x:v>
      </x:c>
      <x:c r="F6" s="34" t="str">
        <x:v>None supplied</x:v>
      </x:c>
    </x:row>
    <x:row r="7" ht="112" customHeight="1">
      <x:c r="A7" s="48" t="str">
        <x:v>SPEC-03</x:v>
      </x:c>
      <x:c r="B7" s="34" t="str">
        <x:v>New Wi-Fi Access Point Hardware Rollout — Indoor Wi-Fi 7 Model</x:v>
      </x:c>
      <x:c r="C7" s="34" t="str">
        <x:v>Infrastructure / hardware replacement</x:v>
      </x:c>
      <x:c r="D7" s="34" t="str">
        <x:v>Network infrastructure (store connectivity, line-busting, POS communication)</x:v>
      </x:c>
      <x:c r="E7" s="34" t="str">
        <x:v>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x:v>
      </x:c>
      <x:c r="F7" s="34" t="str">
        <x:v>None supplied</x:v>
      </x:c>
    </x:row>
    <x:row r="8" ht="112" customHeight="1">
      <x:c r="A8" s="48" t="str">
        <x:v>SPEC-04</x:v>
      </x:c>
      <x:c r="B8" s="34" t="str">
        <x:v>New Catering Voucher Tender Key Implementation on POS</x:v>
      </x:c>
      <x:c r="C8" s="34" t="str">
        <x:v>New feature (new payment tender type)</x:v>
      </x:c>
      <x:c r="D8" s="34" t="str">
        <x:v>Payment processing, POS, financial reporting, analytics, third-party data pipeline</x:v>
      </x:c>
      <x:c r="E8" s="34" t="str">
        <x:v>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x:v>
      </x:c>
      <x:c r="F8" s="34" t="str">
        <x:v>None supplied</x:v>
      </x:c>
    </x:row>
    <x:row r="9" ht="112" customHeight="1">
      <x:c r="A9" s="48" t="str">
        <x:v>SPEC-05</x:v>
      </x:c>
      <x:c r="B9" s="34" t="str">
        <x:v>New Extra-Large Beverage Size Addition to Menu</x:v>
      </x:c>
      <x:c r="C9" s="34" t="str">
        <x:v>New feature (menu item / size tier addition)</x:v>
      </x:c>
      <x:c r="D9" s="34" t="str">
        <x:v>Menu configuration, POS ordering, pricing engine</x:v>
      </x:c>
      <x:c r="E9" s="34" t="str">
        <x:v>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x:v>
      </x:c>
      <x:c r="F9" s="34" t="str">
        <x:v>None supplied</x:v>
      </x:c>
    </x:row>
    <x:row r="10" ht="112" customHeight="1">
      <x:c r="A10" s="48" t="str">
        <x:v>SPEC-06</x:v>
      </x:c>
      <x:c r="B10" s="34" t="str">
        <x:v>Menu Item Availability App — Time Window Configuration Enhancement</x:v>
      </x:c>
      <x:c r="C10" s="34" t="str">
        <x:v>Enhancement (software behavior change in version update)</x:v>
      </x:c>
      <x:c r="D10" s="34" t="str">
        <x:v>POS extension app / menu item scheduling</x:v>
      </x:c>
      <x:c r="E10" s="34" t="str">
        <x:v>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x:v>
      </x:c>
      <x:c r="F10" s="34" t="str">
        <x:v>None supplied</x:v>
      </x:c>
    </x:row>
    <x:row r="11" ht="112" customHeight="1">
      <x:c r="A11" s="48" t="str">
        <x:v>SPEC-08</x:v>
      </x:c>
      <x:c r="B11" s="34" t="str">
        <x:v>Role-Based Access Control — Restrict Void on Empty Check for Fraud Prevention</x:v>
      </x:c>
      <x:c r="C11" s="34" t="str">
        <x:v>Security / access control configuration change</x:v>
      </x:c>
      <x:c r="D11" s="34" t="str">
        <x:v>POS role configuration, transaction management</x:v>
      </x:c>
      <x:c r="E11" s="34" t="str">
        <x:v>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x:v>
      </x:c>
      <x:c r="F11" s="34" t="str">
        <x:v>None supplied</x:v>
      </x:c>
    </x:row>
    <x:row r="12" ht="112" customHeight="1">
      <x:c r="A12" s="48" t="str">
        <x:v>SPEC-09</x:v>
      </x:c>
      <x:c r="B12" s="34" t="str">
        <x:v>Delivery Markup Percentage Update for Third-Party Delivery Platform</x:v>
      </x:c>
      <x:c r="C12" s="34" t="str">
        <x:v>Configuration change (percentage value update)</x:v>
      </x:c>
      <x:c r="D12" s="34" t="str">
        <x:v>Reporting/analytics configuration, third-party delivery platform, data pipeline</x:v>
      </x:c>
      <x:c r="E12" s="34" t="str">
        <x:v>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x:v>
      </x:c>
      <x:c r="F12" s="34" t="str">
        <x:v>None supplied</x:v>
      </x:c>
    </x:row>
    <x:row r="13" ht="112" customHeight="1">
      <x:c r="A13" s="48" t="str">
        <x:v>SPEC-10</x:v>
      </x:c>
      <x:c r="B13" s="34" t="str">
        <x:v>SSL Certificate Renewal for Loyalty Platform Integration</x:v>
      </x:c>
      <x:c r="C13" s="34" t="str">
        <x:v>Infrastructure / security (certificate rotation)</x:v>
      </x:c>
      <x:c r="D13" s="34" t="str">
        <x:v>POS terminals, tablets, loyalty platform integration, content management configuration</x:v>
      </x:c>
      <x:c r="E13" s="34" t="str">
        <x:v>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x:v>
      </x:c>
      <x:c r="F13" s="34" t="str">
        <x:v>None supplied</x:v>
      </x:c>
    </x:row>
    <x:row r="14" ht="112" customHeight="1">
      <x:c r="A14" s="48" t="str">
        <x:v>SPEC-11</x:v>
      </x:c>
      <x:c r="B14" s="34" t="str">
        <x:v>Mobile App Advance Order — Price Lock Behavior When Item Prices Change Before Fulfillment</x:v>
      </x:c>
      <x:c r="C14" s="34" t="str">
        <x:v>Exploratory / edge case validation</x:v>
      </x:c>
      <x:c r="D14" s="34" t="str">
        <x:v>Mobile ordering app, pricing engine, POS order processing</x:v>
      </x:c>
      <x:c r="E14" s="34" t="str">
        <x:v>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x:v>
      </x:c>
      <x:c r="F14" s="34" t="str">
        <x:v>None supplied</x:v>
      </x:c>
    </x:row>
    <x:row r="15" ht="112" customHeight="1">
      <x:c r="A15" s="48" t="str">
        <x:v>SPEC-12</x:v>
      </x:c>
      <x:c r="B15" s="34" t="str">
        <x:v>Financial Report Layout Change — Move Third-Party Delivery Detail Section to Bottom</x:v>
      </x:c>
      <x:c r="C15" s="34" t="str">
        <x:v>Enhancement (report layout / section reordering)</x:v>
      </x:c>
      <x:c r="D15" s="34" t="str">
        <x:v>Financial reporting (property-level report)</x:v>
      </x:c>
      <x:c r="E15" s="34" t="str">
        <x:v>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x:v>
      </x:c>
      <x:c r="F15" s="34" t="str">
        <x:v>None supplied</x:v>
      </x:c>
    </x:row>
    <x:row r="16" ht="112" customHeight="1">
      <x:c r="A16" s="48" t="str">
        <x:v>SPEC-13</x:v>
      </x:c>
      <x:c r="B16" s="34" t="str">
        <x:v>POS Hierarchy Zone Addition for Full-Menu Non-Traditional Store Locations</x:v>
      </x:c>
      <x:c r="C16" s="34" t="str">
        <x:v>Configuration change (new zone addition to hierarchy)</x:v>
      </x:c>
      <x:c r="D16" s="34" t="str">
        <x:v>POS configuration, hierarchy and zone management, menu and page design</x:v>
      </x:c>
      <x:c r="E16" s="34" t="str">
        <x:v>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x:v>
      </x:c>
      <x:c r="F16" s="34" t="str">
        <x:v>None supplied</x:v>
      </x:c>
    </x:row>
    <x:row r="17" ht="112" customHeight="1">
      <x:c r="A17" s="48" t="str">
        <x:v>SPEC-14</x:v>
      </x:c>
      <x:c r="B17" s="34" t="str">
        <x:v>Digital Ordering App Version Upgrade — Multi-Device and Multi-OS Compatibility Testing</x:v>
      </x:c>
      <x:c r="C17" s="34" t="str">
        <x:v>Version upgrade (third-party application)</x:v>
      </x:c>
      <x:c r="D17" s="34" t="str">
        <x:v>Tablet-based digital ordering application, device and OS compatibility</x:v>
      </x:c>
      <x:c r="E17" s="34" t="str">
        <x:v>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x:v>
      </x:c>
      <x:c r="F17" s="34" t="str">
        <x:v>None supplied</x:v>
      </x:c>
    </x:row>
    <x:row r="18" ht="112" customHeight="1">
      <x:c r="A18" s="48" t="str">
        <x:v>SPEC-15</x:v>
      </x:c>
      <x:c r="B18" s="34" t="str">
        <x:v>Gift Card Transaction Cancel Messaging Fix — Validate Correct Terminal Display With Cloud Processing Disabled</x:v>
      </x:c>
      <x:c r="C18" s="34" t="str">
        <x:v>Bug fix (UI messaging mismatch caused by mismatched configuration files)</x:v>
      </x:c>
      <x:c r="D18" s="34" t="str">
        <x:v>Gift card processing, POS terminal display, backend cloud processing</x:v>
      </x:c>
      <x:c r="E18" s="34" t="str">
        <x:v>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x:v>
      </x:c>
      <x:c r="F18" s="34" t="str">
        <x:v>None supplied</x:v>
      </x:c>
    </x:row>
    <x:row r="19" ht="112" customHeight="1">
      <x:c r="A19" s="48" t="str">
        <x:v>SPEC-16</x:v>
      </x:c>
      <x:c r="B19" s="34" t="str">
        <x:v>Regression Testing for Existing Serialized Coupons After New Promotional BIN Ranges Added</x:v>
      </x:c>
      <x:c r="C19" s="34" t="str">
        <x:v>Regression test (new content records added, validate no interference with existing)</x:v>
      </x:c>
      <x:c r="D19" s="34" t="str">
        <x:v>Coupon and discount processing, POS, content management system</x:v>
      </x:c>
      <x:c r="E19" s="34" t="str">
        <x:v>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x:v>
      </x:c>
      <x:c r="F19" s="34" t="str">
        <x:v>None supplied</x:v>
      </x:c>
    </x:row>
    <x:row r="20" ht="112" customHeight="1">
      <x:c r="A20" s="48" t="str">
        <x:v>SPEC-17</x:v>
      </x:c>
      <x:c r="B20" s="34" t="str">
        <x:v>Antivirus Exclusion Script Deployment for Remote Management Tool — POS Terminal Validation</x:v>
      </x:c>
      <x:c r="C20" s="34" t="str">
        <x:v>Security / infrastructure (script deployment and antivirus configuration)</x:v>
      </x:c>
      <x:c r="D20" s="34" t="str">
        <x:v>POS terminals, Windows Defender antivirus, remote management tooling</x:v>
      </x:c>
      <x:c r="E20" s="34" t="str">
        <x:v>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x:v>
      </x:c>
      <x:c r="F20" s="34" t="str">
        <x:v>None supplied</x:v>
      </x:c>
    </x:row>
    <x:row r="21" ht="112" customHeight="1">
      <x:c r="A21" s="48" t="str">
        <x:v>SPEC-18</x:v>
      </x:c>
      <x:c r="B21" s="34" t="str">
        <x:v>POS Crew Notification Feature Enablement on POS Workstations</x:v>
      </x:c>
      <x:c r="C21" s="34" t="str">
        <x:v>New feature (POS notification scheduling and display system)</x:v>
      </x:c>
      <x:c r="D21" s="34" t="str">
        <x:v>POS workstation, employee clock-in workflow, notification management</x:v>
      </x:c>
      <x:c r="E21" s="34" t="str">
        <x:v>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x:v>
      </x:c>
      <x:c r="F21" s="34" t="str">
        <x:v>None supplied</x:v>
      </x:c>
    </x:row>
    <x:row r="22" ht="112" customHeight="1">
      <x:c r="A22" s="48" t="str">
        <x:v>SPEC-19</x:v>
      </x:c>
      <x:c r="B22" s="34" t="str">
        <x:v>Secondary DNS Provider Change — Broad System Regression Across All Network-Dependent Functions</x:v>
      </x:c>
      <x:c r="C22" s="34" t="str">
        <x:v>Infrastructure / network configuration change (DNS provider update)</x:v>
      </x:c>
      <x:c r="D22" s="34" t="str">
        <x:v>Network infrastructure, DNS resolution, payment processing, online ordering, delivery integrations, loyalty, reporting, employee management</x:v>
      </x:c>
      <x:c r="E22" s="34" t="str">
        <x:v>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x:v>
      </x:c>
      <x:c r="F22" s="34" t="str">
        <x:v>None supplied</x:v>
      </x:c>
    </x:row>
  </x:sheetData>
  <x:pageMargins left="0.7" right="0.7" top="0.75" bottom="0.75" header="0.3" footer="0.3"/>
</x:worksheet>
</file>