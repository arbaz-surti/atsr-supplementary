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a492ed846945fd" /></Relationships>
</file>

<file path=xl/workbook.xml><?xml version="1.0" encoding="utf-8"?>
<x:workbook xmlns:x="http://schemas.openxmlformats.org/spreadsheetml/2006/main">
  <x:sheets>
    <x:sheet xmlns:r="http://schemas.openxmlformats.org/officeDocument/2006/relationships" name="Read First" sheetId="1" r:id="R9ae62619ce664c3f"/>
    <x:sheet xmlns:r="http://schemas.openxmlformats.org/officeDocument/2006/relationships" name="Depth" sheetId="2" r:id="R7f677d23dd8441e6"/>
    <x:sheet xmlns:r="http://schemas.openxmlformats.org/officeDocument/2006/relationships" name="Scope" sheetId="3" r:id="R0d89183b0f6246da"/>
    <x:sheet xmlns:r="http://schemas.openxmlformats.org/officeDocument/2006/relationships" name="Specifications" sheetId="4" r:id="R0c7b0140fbb64e9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i/>
      <x:sz val="10"/>
      <x:color rgb="FF595959"/>
      <x:name val="Arial"/>
    </x:font>
    <x:font>
      <x:b/>
      <x:sz val="10"/>
      <x:color rgb="FFFFFFFF"/>
      <x:name val="Arial"/>
    </x:font>
  </x:fonts>
  <x:fills count="8">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F2F2F2"/>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2">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6" fillId="0"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7" fillId="4" borderId="4" xfId="0" applyNumberFormat="1" applyFont="1" applyFill="1" applyBorder="1"/>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2" xfId="0" applyNumberFormat="1" applyFont="1" applyFill="1" applyBorder="1" applyAlignment="1">
      <x:alignment horizontal="center" wrapText="1"/>
    </x:xf>
    <x:xf numFmtId="0" fontId="7" fillId="4" borderId="3" xfId="0" applyNumberFormat="1" applyFont="1" applyFill="1" applyBorder="1" applyAlignment="1">
      <x:alignment horizontal="center" wrapText="1"/>
    </x:xf>
    <x:xf numFmtId="0" fontId="7" fillId="4" borderId="4" xfId="0" applyNumberFormat="1" applyFont="1" applyFill="1" applyBorder="1" applyAlignment="1">
      <x:alignment horizontal="center"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7" borderId="5" xfId="0" applyNumberFormat="1" applyFont="1" applyFill="1" applyBorder="1" applyAlignment="1">
      <x:alignment vertical="top" wrapText="1"/>
    </x:xf>
    <x:xf numFmtId="0" fontId="3" fillId="7" borderId="6" xfId="0" applyNumberFormat="1" applyFont="1" applyFill="1" applyBorder="1" applyAlignment="1">
      <x:alignment vertical="top" wrapText="1"/>
    </x:xf>
    <x:xf numFmtId="200" fontId="3" fillId="3" borderId="5" xfId="0" applyNumberFormat="1" applyFont="1" applyFill="1" applyBorder="1" applyAlignment="1">
      <x:alignment vertical="top" wrapText="1"/>
    </x:xf>
    <x:xf numFmtId="200" fontId="3" fillId="3" borderId="6" xfId="0" applyNumberFormat="1" applyFont="1" applyFill="1" applyBorder="1" applyAlignment="1">
      <x:alignment vertical="top" wrapText="1"/>
    </x:xf>
    <x:xf numFmtId="0" fontId="6" fillId="0" borderId="0" xfId="0" applyNumberFormat="1" applyFont="1" applyFill="1" applyBorder="1" applyAlignment="1">
      <x:alignment wrapText="0"/>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4">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056302d7af4c7c" /><Relationship Type="http://schemas.openxmlformats.org/officeDocument/2006/relationships/theme" Target="/xl/theme/theme1.xml" Id="R67b8b46056844139" /><Relationship Type="http://schemas.openxmlformats.org/officeDocument/2006/relationships/sharedStrings" Target="/xl/sharedStrings.xml" Id="Rfddbf728212e45f4" /><Relationship Type="http://schemas.openxmlformats.org/officeDocument/2006/relationships/worksheet" Target="/xl/worksheets/sheet1.xml" Id="R9ae62619ce664c3f" /><Relationship Type="http://schemas.openxmlformats.org/officeDocument/2006/relationships/worksheet" Target="/xl/worksheets/sheet2.xml" Id="R7f677d23dd8441e6" /><Relationship Type="http://schemas.openxmlformats.org/officeDocument/2006/relationships/worksheet" Target="/xl/worksheets/sheet3.xml" Id="R0d89183b0f6246da" /><Relationship Type="http://schemas.openxmlformats.org/officeDocument/2006/relationships/worksheet" Target="/xl/worksheets/sheet4.xml" Id="R0c7b0140fbb64e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1"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x:c r="A2" s="1" t="str">
        <x:v>B3 consensus adjudication workbook</x:v>
      </x:c>
      <x:c r="B2" s="1"/>
      <x:c r="C2" s="1"/>
      <x:c r="D2" s="1"/>
      <x:c r="E2" s="1"/>
      <x:c r="F2" s="1"/>
      <x:c r="G2" s="1"/>
      <x:c r="H2" s="1"/>
    </x:row>
    <x:row r="3">
      <x:c r="A3" s="2"/>
      <x:c r="B3" s="2"/>
      <x:c r="C3" s="2"/>
      <x:c r="D3" s="2"/>
      <x:c r="E3" s="2"/>
      <x:c r="F3" s="2"/>
      <x:c r="G3" s="2"/>
      <x:c r="H3" s="2"/>
    </x:row>
    <x:row r="5">
      <x:c r="A5" s="3" t="str">
        <x:v>Protocol</x:v>
      </x:c>
      <x:c r="B5" s="4" t="str">
        <x:v>ATSR-SREP-R2-v1.0</x:v>
      </x:c>
    </x:row>
    <x:row r="6">
      <x:c r="A6" s="3" t="str">
        <x:v>Dataset SHA-256</x:v>
      </x:c>
      <x:c r="B6" s="4" t="str">
        <x:v>48d94cce163cf21efa712939bd4334b0a89260434aafe0d83a00cbd2dd3856f0</x:v>
      </x:c>
    </x:row>
    <x:row r="7">
      <x:c r="A7" s="3" t="str">
        <x:v>Independent workbooks</x:v>
      </x:c>
      <x:c r="B7" s="4" t="n">
        <x:v>3</x:v>
      </x:c>
    </x:row>
    <x:row r="8">
      <x:c r="A8" s="3" t="str">
        <x:v>Depth rows complete</x:v>
      </x:c>
      <x:c r="B8" s="4" t="n">
        <x:f>COUNTIFS(Depth!J5:J22,"Complete")</x:f>
        <x:v>0</x:v>
      </x:c>
    </x:row>
    <x:row r="9">
      <x:c r="A9" s="3" t="str">
        <x:v>Scope rows complete</x:v>
      </x:c>
      <x:c r="B9" s="4" t="n">
        <x:f>COUNTIFS(Scope!L5:L112,"Complete")</x:f>
        <x:v>0</x:v>
      </x:c>
    </x:row>
    <x:row r="10">
      <x:c r="A10" s="3" t="str">
        <x:v>Expected depth rows</x:v>
      </x:c>
      <x:c r="B10" s="4" t="n">
        <x:v>18</x:v>
      </x:c>
    </x:row>
    <x:row r="11">
      <x:c r="A11" s="3" t="str">
        <x:v>Expected scope rows</x:v>
      </x:c>
      <x:c r="B11" s="4" t="n">
        <x:v>108</x:v>
      </x:c>
    </x:row>
    <x:row r="13">
      <x:c r="A13" s="6" t="str">
        <x:v>Adjudication sequence</x:v>
      </x:c>
      <x:c r="B13" s="6"/>
      <x:c r="C13" s="6"/>
      <x:c r="D13" s="6"/>
      <x:c r="E13" s="6"/>
      <x:c r="F13" s="6"/>
      <x:c r="G13" s="6"/>
      <x:c r="H13" s="6"/>
    </x:row>
    <x:row r="14" ht="52" customHeight="1">
      <x:c r="A14" s="7" t="str">
        <x:v>1. Import the three de-identified independent judgments without altering their wording.</x:v>
      </x:c>
      <x:c r="B14" s="7"/>
      <x:c r="C14" s="7"/>
      <x:c r="D14" s="7"/>
      <x:c r="E14" s="7"/>
      <x:c r="F14" s="7"/>
      <x:c r="G14" s="7"/>
      <x:c r="H14" s="7"/>
    </x:row>
    <x:row r="15" ht="52" customHeight="1">
      <x:c r="A15" s="7" t="str">
        <x:v>2. Review disagreements only after every independent workbook is locked and copied.</x:v>
      </x:c>
      <x:c r="B15" s="7"/>
      <x:c r="C15" s="7"/>
      <x:c r="D15" s="7"/>
      <x:c r="E15" s="7"/>
      <x:c r="F15" s="7"/>
      <x:c r="G15" s="7"/>
      <x:c r="H15" s="7"/>
    </x:row>
    <x:row r="16" ht="52" customHeight="1">
      <x:c r="A16" s="7" t="str">
        <x:v>3. Agree one consensus depth for each specification and one atomic list for each scope category.</x:v>
      </x:c>
      <x:c r="B16" s="7"/>
      <x:c r="C16" s="7"/>
      <x:c r="D16" s="7"/>
      <x:c r="E16" s="7"/>
      <x:c r="F16" s="7"/>
      <x:c r="G16" s="7"/>
      <x:c r="H16" s="7"/>
    </x:row>
    <x:row r="17" ht="52" customHeight="1">
      <x:c r="A17" s="7" t="str">
        <x:v>4. Record why a disagreement was resolved and whether consensus content is explicit, implicit, or mixed.</x:v>
      </x:c>
      <x:c r="B17" s="7"/>
      <x:c r="C17" s="7"/>
      <x:c r="D17" s="7"/>
      <x:c r="E17" s="7"/>
      <x:c r="F17" s="7"/>
      <x:c r="G17" s="7"/>
      <x:c r="H17" s="7"/>
    </x:row>
    <x:row r="18" ht="52" customHeight="1">
      <x:c r="A18" s="7" t="str">
        <x:v>5. Do not force unanimity. Preserve dissent in the decision-reason field where it matters.</x:v>
      </x:c>
      <x:c r="B18" s="7"/>
      <x:c r="C18" s="7"/>
      <x:c r="D18" s="7"/>
      <x:c r="E18" s="7"/>
      <x:c r="F18" s="7"/>
      <x:c r="G18" s="7"/>
      <x:c r="H18" s="7"/>
    </x:row>
    <x:row r="19" ht="52" customHeight="1">
      <x:c r="A19" s="7" t="str">
        <x:v>6. Complete all rows, export the consensus reference, and hash it together with the final rubric.</x:v>
      </x:c>
      <x:c r="B19" s="7"/>
      <x:c r="C19" s="7"/>
      <x:c r="D19" s="7"/>
      <x:c r="E19" s="7"/>
      <x:c r="F19" s="7"/>
      <x:c r="G19" s="7"/>
      <x:c r="H19" s="7"/>
    </x:row>
    <x:row r="20" ht="52" customHeight="1">
      <x:c r="A20" s="7" t="str">
        <x:v>7. Only then generate blinded model-output rating packets.</x:v>
      </x:c>
      <x:c r="B20" s="7"/>
      <x:c r="C20" s="7"/>
      <x:c r="D20" s="7"/>
      <x:c r="E20" s="7"/>
      <x:c r="F20" s="7"/>
      <x:c r="G20" s="7"/>
      <x:c r="H20" s="7"/>
    </x:row>
    <x:row r="22">
      <x:c r="A22" s="9" t="str">
        <x:v>Do not copy model outputs or ratings into this workbook.</x:v>
      </x:c>
      <x:c r="B22" s="9"/>
      <x:c r="C22" s="9"/>
      <x:c r="D22" s="9"/>
      <x:c r="E22" s="9"/>
      <x:c r="F22" s="9"/>
      <x:c r="G22" s="9"/>
      <x:c r="H22"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2" hidden="0" customWidth="1"/>
    <x:col min="2" max="2" width="36" hidden="0" customWidth="1"/>
    <x:col min="3" max="3" width="17" hidden="0" customWidth="1"/>
    <x:col min="4" max="4" width="21" hidden="0" customWidth="1"/>
    <x:col min="5" max="5" width="21" hidden="0" customWidth="1"/>
    <x:col min="6" max="6" width="18" hidden="0" customWidth="1"/>
    <x:col min="7" max="7" width="45" hidden="0" customWidth="1"/>
    <x:col min="8" max="8" width="20" hidden="0" customWidth="1"/>
    <x:col min="9" max="9" width="16" hidden="0" customWidth="1"/>
    <x:col min="10" max="10" width="16" hidden="0" customWidth="1"/>
  </x:cols>
  <x:sheetData>
    <x:row r="2">
      <x:c r="A2" s="1" t="str">
        <x:v>Coverage-depth adjudication</x:v>
      </x:c>
      <x:c r="B2" s="1"/>
      <x:c r="C2" s="1"/>
      <x:c r="D2" s="1"/>
      <x:c r="E2" s="1"/>
      <x:c r="F2" s="1"/>
      <x:c r="G2" s="1"/>
      <x:c r="H2" s="1"/>
      <x:c r="I2" s="1"/>
      <x:c r="J2" s="1"/>
    </x:row>
    <x:row r="3">
      <x:c r="A3" s="10"/>
      <x:c r="B3" s="10"/>
      <x:c r="C3" s="10" t="str">
        <x:v>Copy independent judgments exactly. Yellow cells are adjudication inputs; Status calculates automatically.</x:v>
      </x:c>
      <x:c r="D3" s="10"/>
      <x:c r="E3" s="10"/>
      <x:c r="F3" s="10"/>
      <x:c r="G3" s="10"/>
      <x:c r="H3" s="10"/>
      <x:c r="I3" s="10"/>
      <x:c r="J3" s="10"/>
    </x:row>
    <x:row r="4" ht="43" customHeight="1">
      <x:c r="A4" s="22" t="str">
        <x:v>Spec ID</x:v>
      </x:c>
      <x:c r="B4" s="23" t="str">
        <x:v>Title</x:v>
      </x:c>
      <x:c r="C4" s="23" t="str">
        <x:v>AUTHOR depth</x:v>
      </x:c>
      <x:c r="D4" s="23" t="str">
        <x:v>PRACTITIONER-01 depth</x:v>
      </x:c>
      <x:c r="E4" s="23" t="str">
        <x:v>PRACTITIONER-02 depth</x:v>
      </x:c>
      <x:c r="F4" s="23" t="str">
        <x:v>Consensus depth</x:v>
      </x:c>
      <x:c r="G4" s="23" t="str">
        <x:v>Decision reason</x:v>
      </x:c>
      <x:c r="H4" s="23" t="str">
        <x:v>Adjudicator initials</x:v>
      </x:c>
      <x:c r="I4" s="23" t="str">
        <x:v>Decision date</x:v>
      </x:c>
      <x:c r="J4" s="24" t="str">
        <x:v>Status</x:v>
      </x:c>
    </x:row>
    <x:row r="5" ht="58" customHeight="1">
      <x:c r="A5" s="29" t="str">
        <x:v>SPEC-01</x:v>
      </x:c>
      <x:c r="B5" s="29" t="str">
        <x:v>Online Ordering Portal Still Shows Menu Item as Available After Overnight Menu Sync</x:v>
      </x:c>
      <x:c r="C5" s="31"/>
      <x:c r="D5" s="31"/>
      <x:c r="E5" s="31"/>
      <x:c r="F5" s="33"/>
      <x:c r="G5" s="33"/>
      <x:c r="H5" s="33"/>
      <x:c r="I5" s="37"/>
      <x:c r="J5" s="35" t="str">
        <x:f>IF(COUNTA(C5:I5)=7,"Complete","Missing fields")</x:f>
        <x:v>Missing fields</x:v>
      </x:c>
    </x:row>
    <x:row r="6" ht="58" customHeight="1">
      <x:c r="A6" s="30" t="str">
        <x:v>SPEC-02</x:v>
      </x:c>
      <x:c r="B6" s="30" t="str">
        <x:v>Payment Device Firmware Update — Quick Chip Reconnection Fix</x:v>
      </x:c>
      <x:c r="C6" s="32"/>
      <x:c r="D6" s="32"/>
      <x:c r="E6" s="32"/>
      <x:c r="F6" s="34"/>
      <x:c r="G6" s="34"/>
      <x:c r="H6" s="34"/>
      <x:c r="I6" s="38"/>
      <x:c r="J6" s="36" t="str">
        <x:f>IF(COUNTA(C6:I6)=7,"Complete","Missing fields")</x:f>
        <x:v>Missing fields</x:v>
      </x:c>
    </x:row>
    <x:row r="7" ht="58" customHeight="1">
      <x:c r="A7" s="30" t="str">
        <x:v>SPEC-03</x:v>
      </x:c>
      <x:c r="B7" s="30" t="str">
        <x:v>New Wi-Fi Access Point Hardware Rollout — Indoor Wi-Fi 7 Model</x:v>
      </x:c>
      <x:c r="C7" s="32"/>
      <x:c r="D7" s="32"/>
      <x:c r="E7" s="32"/>
      <x:c r="F7" s="34"/>
      <x:c r="G7" s="34"/>
      <x:c r="H7" s="34"/>
      <x:c r="I7" s="38"/>
      <x:c r="J7" s="36" t="str">
        <x:f>IF(COUNTA(C7:I7)=7,"Complete","Missing fields")</x:f>
        <x:v>Missing fields</x:v>
      </x:c>
    </x:row>
    <x:row r="8" ht="58" customHeight="1">
      <x:c r="A8" s="30" t="str">
        <x:v>SPEC-04</x:v>
      </x:c>
      <x:c r="B8" s="30" t="str">
        <x:v>New Catering Voucher Tender Key Implementation on POS</x:v>
      </x:c>
      <x:c r="C8" s="32"/>
      <x:c r="D8" s="32"/>
      <x:c r="E8" s="32"/>
      <x:c r="F8" s="34"/>
      <x:c r="G8" s="34"/>
      <x:c r="H8" s="34"/>
      <x:c r="I8" s="38"/>
      <x:c r="J8" s="36" t="str">
        <x:f>IF(COUNTA(C8:I8)=7,"Complete","Missing fields")</x:f>
        <x:v>Missing fields</x:v>
      </x:c>
    </x:row>
    <x:row r="9" ht="58" customHeight="1">
      <x:c r="A9" s="30" t="str">
        <x:v>SPEC-05</x:v>
      </x:c>
      <x:c r="B9" s="30" t="str">
        <x:v>New Extra-Large Beverage Size Addition to Menu</x:v>
      </x:c>
      <x:c r="C9" s="32"/>
      <x:c r="D9" s="32"/>
      <x:c r="E9" s="32"/>
      <x:c r="F9" s="34"/>
      <x:c r="G9" s="34"/>
      <x:c r="H9" s="34"/>
      <x:c r="I9" s="38"/>
      <x:c r="J9" s="36" t="str">
        <x:f>IF(COUNTA(C9:I9)=7,"Complete","Missing fields")</x:f>
        <x:v>Missing fields</x:v>
      </x:c>
    </x:row>
    <x:row r="10" ht="58" customHeight="1">
      <x:c r="A10" s="30" t="str">
        <x:v>SPEC-06</x:v>
      </x:c>
      <x:c r="B10" s="30" t="str">
        <x:v>Menu Item Availability App — Time Window Configuration Enhancement</x:v>
      </x:c>
      <x:c r="C10" s="32"/>
      <x:c r="D10" s="32"/>
      <x:c r="E10" s="32"/>
      <x:c r="F10" s="34"/>
      <x:c r="G10" s="34"/>
      <x:c r="H10" s="34"/>
      <x:c r="I10" s="38"/>
      <x:c r="J10" s="36" t="str">
        <x:f>IF(COUNTA(C10:I10)=7,"Complete","Missing fields")</x:f>
        <x:v>Missing fields</x:v>
      </x:c>
    </x:row>
    <x:row r="11" ht="58" customHeight="1">
      <x:c r="A11" s="30" t="str">
        <x:v>SPEC-08</x:v>
      </x:c>
      <x:c r="B11" s="30" t="str">
        <x:v>Role-Based Access Control — Restrict Void on Empty Check for Fraud Prevention</x:v>
      </x:c>
      <x:c r="C11" s="32"/>
      <x:c r="D11" s="32"/>
      <x:c r="E11" s="32"/>
      <x:c r="F11" s="34"/>
      <x:c r="G11" s="34"/>
      <x:c r="H11" s="34"/>
      <x:c r="I11" s="38"/>
      <x:c r="J11" s="36" t="str">
        <x:f>IF(COUNTA(C11:I11)=7,"Complete","Missing fields")</x:f>
        <x:v>Missing fields</x:v>
      </x:c>
    </x:row>
    <x:row r="12" ht="58" customHeight="1">
      <x:c r="A12" s="30" t="str">
        <x:v>SPEC-09</x:v>
      </x:c>
      <x:c r="B12" s="30" t="str">
        <x:v>Delivery Markup Percentage Update for Third-Party Delivery Platform</x:v>
      </x:c>
      <x:c r="C12" s="32"/>
      <x:c r="D12" s="32"/>
      <x:c r="E12" s="32"/>
      <x:c r="F12" s="34"/>
      <x:c r="G12" s="34"/>
      <x:c r="H12" s="34"/>
      <x:c r="I12" s="38"/>
      <x:c r="J12" s="36" t="str">
        <x:f>IF(COUNTA(C12:I12)=7,"Complete","Missing fields")</x:f>
        <x:v>Missing fields</x:v>
      </x:c>
    </x:row>
    <x:row r="13" ht="58" customHeight="1">
      <x:c r="A13" s="30" t="str">
        <x:v>SPEC-10</x:v>
      </x:c>
      <x:c r="B13" s="30" t="str">
        <x:v>SSL Certificate Renewal for Loyalty Platform Integration</x:v>
      </x:c>
      <x:c r="C13" s="32"/>
      <x:c r="D13" s="32"/>
      <x:c r="E13" s="32"/>
      <x:c r="F13" s="34"/>
      <x:c r="G13" s="34"/>
      <x:c r="H13" s="34"/>
      <x:c r="I13" s="38"/>
      <x:c r="J13" s="36" t="str">
        <x:f>IF(COUNTA(C13:I13)=7,"Complete","Missing fields")</x:f>
        <x:v>Missing fields</x:v>
      </x:c>
    </x:row>
    <x:row r="14" ht="58" customHeight="1">
      <x:c r="A14" s="30" t="str">
        <x:v>SPEC-11</x:v>
      </x:c>
      <x:c r="B14" s="30" t="str">
        <x:v>Mobile App Advance Order — Price Lock Behavior When Item Prices Change Before Fulfillment</x:v>
      </x:c>
      <x:c r="C14" s="32"/>
      <x:c r="D14" s="32"/>
      <x:c r="E14" s="32"/>
      <x:c r="F14" s="34"/>
      <x:c r="G14" s="34"/>
      <x:c r="H14" s="34"/>
      <x:c r="I14" s="38"/>
      <x:c r="J14" s="36" t="str">
        <x:f>IF(COUNTA(C14:I14)=7,"Complete","Missing fields")</x:f>
        <x:v>Missing fields</x:v>
      </x:c>
    </x:row>
    <x:row r="15" ht="58" customHeight="1">
      <x:c r="A15" s="30" t="str">
        <x:v>SPEC-12</x:v>
      </x:c>
      <x:c r="B15" s="30" t="str">
        <x:v>Financial Report Layout Change — Move Third-Party Delivery Detail Section to Bottom</x:v>
      </x:c>
      <x:c r="C15" s="32"/>
      <x:c r="D15" s="32"/>
      <x:c r="E15" s="32"/>
      <x:c r="F15" s="34"/>
      <x:c r="G15" s="34"/>
      <x:c r="H15" s="34"/>
      <x:c r="I15" s="38"/>
      <x:c r="J15" s="36" t="str">
        <x:f>IF(COUNTA(C15:I15)=7,"Complete","Missing fields")</x:f>
        <x:v>Missing fields</x:v>
      </x:c>
    </x:row>
    <x:row r="16" ht="58" customHeight="1">
      <x:c r="A16" s="30" t="str">
        <x:v>SPEC-13</x:v>
      </x:c>
      <x:c r="B16" s="30" t="str">
        <x:v>POS Hierarchy Zone Addition for Full-Menu Non-Traditional Store Locations</x:v>
      </x:c>
      <x:c r="C16" s="32"/>
      <x:c r="D16" s="32"/>
      <x:c r="E16" s="32"/>
      <x:c r="F16" s="34"/>
      <x:c r="G16" s="34"/>
      <x:c r="H16" s="34"/>
      <x:c r="I16" s="38"/>
      <x:c r="J16" s="36" t="str">
        <x:f>IF(COUNTA(C16:I16)=7,"Complete","Missing fields")</x:f>
        <x:v>Missing fields</x:v>
      </x:c>
    </x:row>
    <x:row r="17" ht="58" customHeight="1">
      <x:c r="A17" s="30" t="str">
        <x:v>SPEC-14</x:v>
      </x:c>
      <x:c r="B17" s="30" t="str">
        <x:v>Digital Ordering App Version Upgrade — Multi-Device and Multi-OS Compatibility Testing</x:v>
      </x:c>
      <x:c r="C17" s="32"/>
      <x:c r="D17" s="32"/>
      <x:c r="E17" s="32"/>
      <x:c r="F17" s="34"/>
      <x:c r="G17" s="34"/>
      <x:c r="H17" s="34"/>
      <x:c r="I17" s="38"/>
      <x:c r="J17" s="36" t="str">
        <x:f>IF(COUNTA(C17:I17)=7,"Complete","Missing fields")</x:f>
        <x:v>Missing fields</x:v>
      </x:c>
    </x:row>
    <x:row r="18" ht="58" customHeight="1">
      <x:c r="A18" s="30" t="str">
        <x:v>SPEC-15</x:v>
      </x:c>
      <x:c r="B18" s="30" t="str">
        <x:v>Gift Card Transaction Cancel Messaging Fix — Validate Correct Terminal Display With Cloud Processing Disabled</x:v>
      </x:c>
      <x:c r="C18" s="32"/>
      <x:c r="D18" s="32"/>
      <x:c r="E18" s="32"/>
      <x:c r="F18" s="34"/>
      <x:c r="G18" s="34"/>
      <x:c r="H18" s="34"/>
      <x:c r="I18" s="38"/>
      <x:c r="J18" s="36" t="str">
        <x:f>IF(COUNTA(C18:I18)=7,"Complete","Missing fields")</x:f>
        <x:v>Missing fields</x:v>
      </x:c>
    </x:row>
    <x:row r="19" ht="58" customHeight="1">
      <x:c r="A19" s="30" t="str">
        <x:v>SPEC-16</x:v>
      </x:c>
      <x:c r="B19" s="30" t="str">
        <x:v>Regression Testing for Existing Serialized Coupons After New Promotional BIN Ranges Added</x:v>
      </x:c>
      <x:c r="C19" s="32"/>
      <x:c r="D19" s="32"/>
      <x:c r="E19" s="32"/>
      <x:c r="F19" s="34"/>
      <x:c r="G19" s="34"/>
      <x:c r="H19" s="34"/>
      <x:c r="I19" s="38"/>
      <x:c r="J19" s="36" t="str">
        <x:f>IF(COUNTA(C19:I19)=7,"Complete","Missing fields")</x:f>
        <x:v>Missing fields</x:v>
      </x:c>
    </x:row>
    <x:row r="20" ht="58" customHeight="1">
      <x:c r="A20" s="30" t="str">
        <x:v>SPEC-17</x:v>
      </x:c>
      <x:c r="B20" s="30" t="str">
        <x:v>Antivirus Exclusion Script Deployment for Remote Management Tool — POS Terminal Validation</x:v>
      </x:c>
      <x:c r="C20" s="32"/>
      <x:c r="D20" s="32"/>
      <x:c r="E20" s="32"/>
      <x:c r="F20" s="34"/>
      <x:c r="G20" s="34"/>
      <x:c r="H20" s="34"/>
      <x:c r="I20" s="38"/>
      <x:c r="J20" s="36" t="str">
        <x:f>IF(COUNTA(C20:I20)=7,"Complete","Missing fields")</x:f>
        <x:v>Missing fields</x:v>
      </x:c>
    </x:row>
    <x:row r="21" ht="58" customHeight="1">
      <x:c r="A21" s="30" t="str">
        <x:v>SPEC-18</x:v>
      </x:c>
      <x:c r="B21" s="30" t="str">
        <x:v>POS Crew Notification Feature Enablement on POS Workstations</x:v>
      </x:c>
      <x:c r="C21" s="32"/>
      <x:c r="D21" s="32"/>
      <x:c r="E21" s="32"/>
      <x:c r="F21" s="34"/>
      <x:c r="G21" s="34"/>
      <x:c r="H21" s="34"/>
      <x:c r="I21" s="38"/>
      <x:c r="J21" s="36" t="str">
        <x:f>IF(COUNTA(C21:I21)=7,"Complete","Missing fields")</x:f>
        <x:v>Missing fields</x:v>
      </x:c>
    </x:row>
    <x:row r="22" ht="58" customHeight="1">
      <x:c r="A22" s="30" t="str">
        <x:v>SPEC-19</x:v>
      </x:c>
      <x:c r="B22" s="30" t="str">
        <x:v>Secondary DNS Provider Change — Broad System Regression Across All Network-Dependent Functions</x:v>
      </x:c>
      <x:c r="C22" s="32"/>
      <x:c r="D22" s="32"/>
      <x:c r="E22" s="32"/>
      <x:c r="F22" s="34"/>
      <x:c r="G22" s="34"/>
      <x:c r="H22" s="34"/>
      <x:c r="I22" s="38"/>
      <x:c r="J22" s="36" t="str">
        <x:f>IF(COUNTA(C22:I22)=7,"Complete","Missing fields")</x:f>
        <x:v>Missing fields</x:v>
      </x:c>
    </x:row>
  </x:sheetData>
  <x:conditionalFormatting sqref="J5:J22">
    <x:cfRule type="containsText" dxfId="0" priority="1" operator="containsText" text="Missing fields"/>
    <x:cfRule type="containsText" dxfId="1" priority="2" operator="containsText" text="Complete"/>
  </x:conditionalFormatting>
  <x:dataValidations count="4">
    <x:dataValidation type="list" sqref="C5:C22">
      <x:formula1>"LOW,MEDIUM,HIGH"</x:formula1>
    </x:dataValidation>
    <x:dataValidation type="list" sqref="D5:D22">
      <x:formula1>"LOW,MEDIUM,HIGH"</x:formula1>
    </x:dataValidation>
    <x:dataValidation type="list" sqref="E5:E22">
      <x:formula1>"LOW,MEDIUM,HIGH"</x:formula1>
    </x:dataValidation>
    <x:dataValidation type="list" sqref="F5:F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4" hidden="0" customWidth="1"/>
    <x:col min="6" max="6" width="34" hidden="0" customWidth="1"/>
    <x:col min="7" max="7" width="40" hidden="0" customWidth="1"/>
    <x:col min="8" max="8" width="18" hidden="0" customWidth="1"/>
    <x:col min="9" max="9" width="34" hidden="0" customWidth="1"/>
    <x:col min="10" max="10" width="36" hidden="0" customWidth="1"/>
    <x:col min="11" max="11" width="20" hidden="0" customWidth="1"/>
    <x:col min="12" max="12" width="16" hidden="0" customWidth="1"/>
  </x:cols>
  <x:sheetData>
    <x:row r="2">
      <x:c r="A2" s="1" t="str">
        <x:v>Essential-scope adjudication</x:v>
      </x:c>
      <x:c r="B2" s="1"/>
      <x:c r="C2" s="1"/>
      <x:c r="D2" s="1"/>
      <x:c r="E2" s="1"/>
      <x:c r="F2" s="1"/>
      <x:c r="G2" s="1"/>
      <x:c r="H2" s="1"/>
      <x:c r="I2" s="1"/>
      <x:c r="J2" s="1"/>
      <x:c r="K2" s="1"/>
      <x:c r="L2" s="1"/>
    </x:row>
    <x:row r="3">
      <x:c r="A3" s="10"/>
      <x:c r="B3" s="10"/>
      <x:c r="C3" s="10" t="str">
        <x:v>One row represents one specification and scope category. Keep semicolon-separated elements atomic.</x:v>
      </x:c>
      <x:c r="D3" s="10"/>
      <x:c r="E3" s="10"/>
      <x:c r="F3" s="10"/>
      <x:c r="G3" s="10"/>
      <x:c r="H3" s="10"/>
      <x:c r="I3" s="10"/>
      <x:c r="J3" s="10"/>
      <x:c r="K3" s="10"/>
      <x:c r="L3" s="10"/>
    </x:row>
    <x:row r="4" ht="43" customHeight="1">
      <x:c r="A4" s="22" t="str">
        <x:v>Spec ID</x:v>
      </x:c>
      <x:c r="B4" s="23" t="str">
        <x:v>Title</x:v>
      </x:c>
      <x:c r="C4" s="23" t="str">
        <x:v>Scope category</x:v>
      </x:c>
      <x:c r="D4" s="23" t="str">
        <x:v>AUTHOR judgment</x:v>
      </x:c>
      <x:c r="E4" s="23" t="str">
        <x:v>PRACTITIONER-01 judgment</x:v>
      </x:c>
      <x:c r="F4" s="23" t="str">
        <x:v>PRACTITIONER-02 judgment</x:v>
      </x:c>
      <x:c r="G4" s="23" t="str">
        <x:v>Consensus essential elements</x:v>
      </x:c>
      <x:c r="H4" s="23" t="str">
        <x:v>Evidence basis</x:v>
      </x:c>
      <x:c r="I4" s="23" t="str">
        <x:v>Implicit inferential link</x:v>
      </x:c>
      <x:c r="J4" s="23" t="str">
        <x:v>Decision reason</x:v>
      </x:c>
      <x:c r="K4" s="23" t="str">
        <x:v>Adjudicator initials</x:v>
      </x:c>
      <x:c r="L4" s="24" t="str">
        <x:v>Status</x:v>
      </x:c>
    </x:row>
    <x:row r="5" ht="68" customHeight="1">
      <x:c r="A5" s="29" t="str">
        <x:v>SPEC-01</x:v>
      </x:c>
      <x:c r="B5" s="29" t="str">
        <x:v>Online Ordering Portal Still Shows Menu Item as Available After Overnight Menu Sync</x:v>
      </x:c>
      <x:c r="C5" s="29" t="str">
        <x:v>Functional</x:v>
      </x:c>
      <x:c r="D5" s="31"/>
      <x:c r="E5" s="31"/>
      <x:c r="F5" s="31"/>
      <x:c r="G5" s="33"/>
      <x:c r="H5" s="33"/>
      <x:c r="I5" s="33"/>
      <x:c r="J5" s="33"/>
      <x:c r="K5" s="33"/>
      <x:c r="L5" s="35" t="str">
        <x:f>IF(COUNTA(D5:K5)=8,"Complete","Missing fields")</x:f>
        <x:v>Missing fields</x:v>
      </x:c>
    </x:row>
    <x:row r="6" ht="68" customHeight="1">
      <x:c r="A6" s="30" t="str">
        <x:v>SPEC-01</x:v>
      </x:c>
      <x:c r="B6" s="30" t="str">
        <x:v>Online Ordering Portal Still Shows Menu Item as Available After Overnight Menu Sync</x:v>
      </x:c>
      <x:c r="C6" s="30" t="str">
        <x:v>Smoke</x:v>
      </x:c>
      <x:c r="D6" s="32"/>
      <x:c r="E6" s="32"/>
      <x:c r="F6" s="32"/>
      <x:c r="G6" s="34"/>
      <x:c r="H6" s="34"/>
      <x:c r="I6" s="34"/>
      <x:c r="J6" s="34"/>
      <x:c r="K6" s="34"/>
      <x:c r="L6" s="36" t="str">
        <x:f>IF(COUNTA(D6:K6)=8,"Complete","Missing fields")</x:f>
        <x:v>Missing fields</x:v>
      </x:c>
    </x:row>
    <x:row r="7" ht="68" customHeight="1">
      <x:c r="A7" s="30" t="str">
        <x:v>SPEC-01</x:v>
      </x:c>
      <x:c r="B7" s="30" t="str">
        <x:v>Online Ordering Portal Still Shows Menu Item as Available After Overnight Menu Sync</x:v>
      </x:c>
      <x:c r="C7" s="30" t="str">
        <x:v>Regression</x:v>
      </x:c>
      <x:c r="D7" s="32"/>
      <x:c r="E7" s="32"/>
      <x:c r="F7" s="32"/>
      <x:c r="G7" s="34"/>
      <x:c r="H7" s="34"/>
      <x:c r="I7" s="34"/>
      <x:c r="J7" s="34"/>
      <x:c r="K7" s="34"/>
      <x:c r="L7" s="36" t="str">
        <x:f>IF(COUNTA(D7:K7)=8,"Complete","Missing fields")</x:f>
        <x:v>Missing fields</x:v>
      </x:c>
    </x:row>
    <x:row r="8" ht="68" customHeight="1">
      <x:c r="A8" s="30" t="str">
        <x:v>SPEC-01</x:v>
      </x:c>
      <x:c r="B8" s="30" t="str">
        <x:v>Online Ordering Portal Still Shows Menu Item as Available After Overnight Menu Sync</x:v>
      </x:c>
      <x:c r="C8" s="30" t="str">
        <x:v>Integration</x:v>
      </x:c>
      <x:c r="D8" s="32"/>
      <x:c r="E8" s="32"/>
      <x:c r="F8" s="32"/>
      <x:c r="G8" s="34"/>
      <x:c r="H8" s="34"/>
      <x:c r="I8" s="34"/>
      <x:c r="J8" s="34"/>
      <x:c r="K8" s="34"/>
      <x:c r="L8" s="36" t="str">
        <x:f>IF(COUNTA(D8:K8)=8,"Complete","Missing fields")</x:f>
        <x:v>Missing fields</x:v>
      </x:c>
    </x:row>
    <x:row r="9" ht="68" customHeight="1">
      <x:c r="A9" s="30" t="str">
        <x:v>SPEC-01</x:v>
      </x:c>
      <x:c r="B9" s="30" t="str">
        <x:v>Online Ordering Portal Still Shows Menu Item as Available After Overnight Menu Sync</x:v>
      </x:c>
      <x:c r="C9" s="30" t="str">
        <x:v>Exploratory</x:v>
      </x:c>
      <x:c r="D9" s="32"/>
      <x:c r="E9" s="32"/>
      <x:c r="F9" s="32"/>
      <x:c r="G9" s="34"/>
      <x:c r="H9" s="34"/>
      <x:c r="I9" s="34"/>
      <x:c r="J9" s="34"/>
      <x:c r="K9" s="34"/>
      <x:c r="L9" s="36" t="str">
        <x:f>IF(COUNTA(D9:K9)=8,"Complete","Missing fields")</x:f>
        <x:v>Missing fields</x:v>
      </x:c>
    </x:row>
    <x:row r="10" ht="68" customHeight="1">
      <x:c r="A10" s="30" t="str">
        <x:v>SPEC-01</x:v>
      </x:c>
      <x:c r="B10" s="30" t="str">
        <x:v>Online Ordering Portal Still Shows Menu Item as Available After Overnight Menu Sync</x:v>
      </x:c>
      <x:c r="C10" s="30" t="str">
        <x:v>Clarification</x:v>
      </x:c>
      <x:c r="D10" s="32"/>
      <x:c r="E10" s="32"/>
      <x:c r="F10" s="32"/>
      <x:c r="G10" s="34"/>
      <x:c r="H10" s="34"/>
      <x:c r="I10" s="34"/>
      <x:c r="J10" s="34"/>
      <x:c r="K10" s="34"/>
      <x:c r="L10" s="36" t="str">
        <x:f>IF(COUNTA(D10:K10)=8,"Complete","Missing fields")</x:f>
        <x:v>Missing fields</x:v>
      </x:c>
    </x:row>
    <x:row r="11" ht="68" customHeight="1">
      <x:c r="A11" s="30" t="str">
        <x:v>SPEC-02</x:v>
      </x:c>
      <x:c r="B11" s="30" t="str">
        <x:v>Payment Device Firmware Update — Quick Chip Reconnection Fix</x:v>
      </x:c>
      <x:c r="C11" s="30" t="str">
        <x:v>Functional</x:v>
      </x:c>
      <x:c r="D11" s="32"/>
      <x:c r="E11" s="32"/>
      <x:c r="F11" s="32"/>
      <x:c r="G11" s="34"/>
      <x:c r="H11" s="34"/>
      <x:c r="I11" s="34"/>
      <x:c r="J11" s="34"/>
      <x:c r="K11" s="34"/>
      <x:c r="L11" s="36" t="str">
        <x:f>IF(COUNTA(D11:K11)=8,"Complete","Missing fields")</x:f>
        <x:v>Missing fields</x:v>
      </x:c>
    </x:row>
    <x:row r="12" ht="68" customHeight="1">
      <x:c r="A12" s="30" t="str">
        <x:v>SPEC-02</x:v>
      </x:c>
      <x:c r="B12" s="30" t="str">
        <x:v>Payment Device Firmware Update — Quick Chip Reconnection Fix</x:v>
      </x:c>
      <x:c r="C12" s="30" t="str">
        <x:v>Smoke</x:v>
      </x:c>
      <x:c r="D12" s="32"/>
      <x:c r="E12" s="32"/>
      <x:c r="F12" s="32"/>
      <x:c r="G12" s="34"/>
      <x:c r="H12" s="34"/>
      <x:c r="I12" s="34"/>
      <x:c r="J12" s="34"/>
      <x:c r="K12" s="34"/>
      <x:c r="L12" s="36" t="str">
        <x:f>IF(COUNTA(D12:K12)=8,"Complete","Missing fields")</x:f>
        <x:v>Missing fields</x:v>
      </x:c>
    </x:row>
    <x:row r="13" ht="68" customHeight="1">
      <x:c r="A13" s="30" t="str">
        <x:v>SPEC-02</x:v>
      </x:c>
      <x:c r="B13" s="30" t="str">
        <x:v>Payment Device Firmware Update — Quick Chip Reconnection Fix</x:v>
      </x:c>
      <x:c r="C13" s="30" t="str">
        <x:v>Regression</x:v>
      </x:c>
      <x:c r="D13" s="32"/>
      <x:c r="E13" s="32"/>
      <x:c r="F13" s="32"/>
      <x:c r="G13" s="34"/>
      <x:c r="H13" s="34"/>
      <x:c r="I13" s="34"/>
      <x:c r="J13" s="34"/>
      <x:c r="K13" s="34"/>
      <x:c r="L13" s="36" t="str">
        <x:f>IF(COUNTA(D13:K13)=8,"Complete","Missing fields")</x:f>
        <x:v>Missing fields</x:v>
      </x:c>
    </x:row>
    <x:row r="14" ht="68" customHeight="1">
      <x:c r="A14" s="30" t="str">
        <x:v>SPEC-02</x:v>
      </x:c>
      <x:c r="B14" s="30" t="str">
        <x:v>Payment Device Firmware Update — Quick Chip Reconnection Fix</x:v>
      </x:c>
      <x:c r="C14" s="30" t="str">
        <x:v>Integration</x:v>
      </x:c>
      <x:c r="D14" s="32"/>
      <x:c r="E14" s="32"/>
      <x:c r="F14" s="32"/>
      <x:c r="G14" s="34"/>
      <x:c r="H14" s="34"/>
      <x:c r="I14" s="34"/>
      <x:c r="J14" s="34"/>
      <x:c r="K14" s="34"/>
      <x:c r="L14" s="36" t="str">
        <x:f>IF(COUNTA(D14:K14)=8,"Complete","Missing fields")</x:f>
        <x:v>Missing fields</x:v>
      </x:c>
    </x:row>
    <x:row r="15" ht="68" customHeight="1">
      <x:c r="A15" s="30" t="str">
        <x:v>SPEC-02</x:v>
      </x:c>
      <x:c r="B15" s="30" t="str">
        <x:v>Payment Device Firmware Update — Quick Chip Reconnection Fix</x:v>
      </x:c>
      <x:c r="C15" s="30" t="str">
        <x:v>Exploratory</x:v>
      </x:c>
      <x:c r="D15" s="32"/>
      <x:c r="E15" s="32"/>
      <x:c r="F15" s="32"/>
      <x:c r="G15" s="34"/>
      <x:c r="H15" s="34"/>
      <x:c r="I15" s="34"/>
      <x:c r="J15" s="34"/>
      <x:c r="K15" s="34"/>
      <x:c r="L15" s="36" t="str">
        <x:f>IF(COUNTA(D15:K15)=8,"Complete","Missing fields")</x:f>
        <x:v>Missing fields</x:v>
      </x:c>
    </x:row>
    <x:row r="16" ht="68" customHeight="1">
      <x:c r="A16" s="30" t="str">
        <x:v>SPEC-02</x:v>
      </x:c>
      <x:c r="B16" s="30" t="str">
        <x:v>Payment Device Firmware Update — Quick Chip Reconnection Fix</x:v>
      </x:c>
      <x:c r="C16" s="30" t="str">
        <x:v>Clarification</x:v>
      </x:c>
      <x:c r="D16" s="32"/>
      <x:c r="E16" s="32"/>
      <x:c r="F16" s="32"/>
      <x:c r="G16" s="34"/>
      <x:c r="H16" s="34"/>
      <x:c r="I16" s="34"/>
      <x:c r="J16" s="34"/>
      <x:c r="K16" s="34"/>
      <x:c r="L16" s="36" t="str">
        <x:f>IF(COUNTA(D16:K16)=8,"Complete","Missing fields")</x:f>
        <x:v>Missing fields</x:v>
      </x:c>
    </x:row>
    <x:row r="17" ht="68" customHeight="1">
      <x:c r="A17" s="30" t="str">
        <x:v>SPEC-03</x:v>
      </x:c>
      <x:c r="B17" s="30" t="str">
        <x:v>New Wi-Fi Access Point Hardware Rollout — Indoor Wi-Fi 7 Model</x:v>
      </x:c>
      <x:c r="C17" s="30" t="str">
        <x:v>Functional</x:v>
      </x:c>
      <x:c r="D17" s="32"/>
      <x:c r="E17" s="32"/>
      <x:c r="F17" s="32"/>
      <x:c r="G17" s="34"/>
      <x:c r="H17" s="34"/>
      <x:c r="I17" s="34"/>
      <x:c r="J17" s="34"/>
      <x:c r="K17" s="34"/>
      <x:c r="L17" s="36" t="str">
        <x:f>IF(COUNTA(D17:K17)=8,"Complete","Missing fields")</x:f>
        <x:v>Missing fields</x:v>
      </x:c>
    </x:row>
    <x:row r="18" ht="68" customHeight="1">
      <x:c r="A18" s="30" t="str">
        <x:v>SPEC-03</x:v>
      </x:c>
      <x:c r="B18" s="30" t="str">
        <x:v>New Wi-Fi Access Point Hardware Rollout — Indoor Wi-Fi 7 Model</x:v>
      </x:c>
      <x:c r="C18" s="30" t="str">
        <x:v>Smoke</x:v>
      </x:c>
      <x:c r="D18" s="32"/>
      <x:c r="E18" s="32"/>
      <x:c r="F18" s="32"/>
      <x:c r="G18" s="34"/>
      <x:c r="H18" s="34"/>
      <x:c r="I18" s="34"/>
      <x:c r="J18" s="34"/>
      <x:c r="K18" s="34"/>
      <x:c r="L18" s="36" t="str">
        <x:f>IF(COUNTA(D18:K18)=8,"Complete","Missing fields")</x:f>
        <x:v>Missing fields</x:v>
      </x:c>
    </x:row>
    <x:row r="19" ht="68" customHeight="1">
      <x:c r="A19" s="30" t="str">
        <x:v>SPEC-03</x:v>
      </x:c>
      <x:c r="B19" s="30" t="str">
        <x:v>New Wi-Fi Access Point Hardware Rollout — Indoor Wi-Fi 7 Model</x:v>
      </x:c>
      <x:c r="C19" s="30" t="str">
        <x:v>Regression</x:v>
      </x:c>
      <x:c r="D19" s="32"/>
      <x:c r="E19" s="32"/>
      <x:c r="F19" s="32"/>
      <x:c r="G19" s="34"/>
      <x:c r="H19" s="34"/>
      <x:c r="I19" s="34"/>
      <x:c r="J19" s="34"/>
      <x:c r="K19" s="34"/>
      <x:c r="L19" s="36" t="str">
        <x:f>IF(COUNTA(D19:K19)=8,"Complete","Missing fields")</x:f>
        <x:v>Missing fields</x:v>
      </x:c>
    </x:row>
    <x:row r="20" ht="68" customHeight="1">
      <x:c r="A20" s="30" t="str">
        <x:v>SPEC-03</x:v>
      </x:c>
      <x:c r="B20" s="30" t="str">
        <x:v>New Wi-Fi Access Point Hardware Rollout — Indoor Wi-Fi 7 Model</x:v>
      </x:c>
      <x:c r="C20" s="30" t="str">
        <x:v>Integration</x:v>
      </x:c>
      <x:c r="D20" s="32"/>
      <x:c r="E20" s="32"/>
      <x:c r="F20" s="32"/>
      <x:c r="G20" s="34"/>
      <x:c r="H20" s="34"/>
      <x:c r="I20" s="34"/>
      <x:c r="J20" s="34"/>
      <x:c r="K20" s="34"/>
      <x:c r="L20" s="36" t="str">
        <x:f>IF(COUNTA(D20:K20)=8,"Complete","Missing fields")</x:f>
        <x:v>Missing fields</x:v>
      </x:c>
    </x:row>
    <x:row r="21" ht="68" customHeight="1">
      <x:c r="A21" s="30" t="str">
        <x:v>SPEC-03</x:v>
      </x:c>
      <x:c r="B21" s="30" t="str">
        <x:v>New Wi-Fi Access Point Hardware Rollout — Indoor Wi-Fi 7 Model</x:v>
      </x:c>
      <x:c r="C21" s="30" t="str">
        <x:v>Exploratory</x:v>
      </x:c>
      <x:c r="D21" s="32"/>
      <x:c r="E21" s="32"/>
      <x:c r="F21" s="32"/>
      <x:c r="G21" s="34"/>
      <x:c r="H21" s="34"/>
      <x:c r="I21" s="34"/>
      <x:c r="J21" s="34"/>
      <x:c r="K21" s="34"/>
      <x:c r="L21" s="36" t="str">
        <x:f>IF(COUNTA(D21:K21)=8,"Complete","Missing fields")</x:f>
        <x:v>Missing fields</x:v>
      </x:c>
    </x:row>
    <x:row r="22" ht="68" customHeight="1">
      <x:c r="A22" s="30" t="str">
        <x:v>SPEC-03</x:v>
      </x:c>
      <x:c r="B22" s="30" t="str">
        <x:v>New Wi-Fi Access Point Hardware Rollout — Indoor Wi-Fi 7 Model</x:v>
      </x:c>
      <x:c r="C22" s="30" t="str">
        <x:v>Clarification</x:v>
      </x:c>
      <x:c r="D22" s="32"/>
      <x:c r="E22" s="32"/>
      <x:c r="F22" s="32"/>
      <x:c r="G22" s="34"/>
      <x:c r="H22" s="34"/>
      <x:c r="I22" s="34"/>
      <x:c r="J22" s="34"/>
      <x:c r="K22" s="34"/>
      <x:c r="L22" s="36" t="str">
        <x:f>IF(COUNTA(D22:K22)=8,"Complete","Missing fields")</x:f>
        <x:v>Missing fields</x:v>
      </x:c>
    </x:row>
    <x:row r="23" ht="68" customHeight="1">
      <x:c r="A23" s="30" t="str">
        <x:v>SPEC-04</x:v>
      </x:c>
      <x:c r="B23" s="30" t="str">
        <x:v>New Catering Voucher Tender Key Implementation on POS</x:v>
      </x:c>
      <x:c r="C23" s="30" t="str">
        <x:v>Functional</x:v>
      </x:c>
      <x:c r="D23" s="32"/>
      <x:c r="E23" s="32"/>
      <x:c r="F23" s="32"/>
      <x:c r="G23" s="34"/>
      <x:c r="H23" s="34"/>
      <x:c r="I23" s="34"/>
      <x:c r="J23" s="34"/>
      <x:c r="K23" s="34"/>
      <x:c r="L23" s="36" t="str">
        <x:f>IF(COUNTA(D23:K23)=8,"Complete","Missing fields")</x:f>
        <x:v>Missing fields</x:v>
      </x:c>
    </x:row>
    <x:row r="24" ht="68" customHeight="1">
      <x:c r="A24" s="30" t="str">
        <x:v>SPEC-04</x:v>
      </x:c>
      <x:c r="B24" s="30" t="str">
        <x:v>New Catering Voucher Tender Key Implementation on POS</x:v>
      </x:c>
      <x:c r="C24" s="30" t="str">
        <x:v>Smoke</x:v>
      </x:c>
      <x:c r="D24" s="32"/>
      <x:c r="E24" s="32"/>
      <x:c r="F24" s="32"/>
      <x:c r="G24" s="34"/>
      <x:c r="H24" s="34"/>
      <x:c r="I24" s="34"/>
      <x:c r="J24" s="34"/>
      <x:c r="K24" s="34"/>
      <x:c r="L24" s="36" t="str">
        <x:f>IF(COUNTA(D24:K24)=8,"Complete","Missing fields")</x:f>
        <x:v>Missing fields</x:v>
      </x:c>
    </x:row>
    <x:row r="25" ht="68" customHeight="1">
      <x:c r="A25" s="30" t="str">
        <x:v>SPEC-04</x:v>
      </x:c>
      <x:c r="B25" s="30" t="str">
        <x:v>New Catering Voucher Tender Key Implementation on POS</x:v>
      </x:c>
      <x:c r="C25" s="30" t="str">
        <x:v>Regression</x:v>
      </x:c>
      <x:c r="D25" s="32"/>
      <x:c r="E25" s="32"/>
      <x:c r="F25" s="32"/>
      <x:c r="G25" s="34"/>
      <x:c r="H25" s="34"/>
      <x:c r="I25" s="34"/>
      <x:c r="J25" s="34"/>
      <x:c r="K25" s="34"/>
      <x:c r="L25" s="36" t="str">
        <x:f>IF(COUNTA(D25:K25)=8,"Complete","Missing fields")</x:f>
        <x:v>Missing fields</x:v>
      </x:c>
    </x:row>
    <x:row r="26" ht="68" customHeight="1">
      <x:c r="A26" s="30" t="str">
        <x:v>SPEC-04</x:v>
      </x:c>
      <x:c r="B26" s="30" t="str">
        <x:v>New Catering Voucher Tender Key Implementation on POS</x:v>
      </x:c>
      <x:c r="C26" s="30" t="str">
        <x:v>Integration</x:v>
      </x:c>
      <x:c r="D26" s="32"/>
      <x:c r="E26" s="32"/>
      <x:c r="F26" s="32"/>
      <x:c r="G26" s="34"/>
      <x:c r="H26" s="34"/>
      <x:c r="I26" s="34"/>
      <x:c r="J26" s="34"/>
      <x:c r="K26" s="34"/>
      <x:c r="L26" s="36" t="str">
        <x:f>IF(COUNTA(D26:K26)=8,"Complete","Missing fields")</x:f>
        <x:v>Missing fields</x:v>
      </x:c>
    </x:row>
    <x:row r="27" ht="68" customHeight="1">
      <x:c r="A27" s="30" t="str">
        <x:v>SPEC-04</x:v>
      </x:c>
      <x:c r="B27" s="30" t="str">
        <x:v>New Catering Voucher Tender Key Implementation on POS</x:v>
      </x:c>
      <x:c r="C27" s="30" t="str">
        <x:v>Exploratory</x:v>
      </x:c>
      <x:c r="D27" s="32"/>
      <x:c r="E27" s="32"/>
      <x:c r="F27" s="32"/>
      <x:c r="G27" s="34"/>
      <x:c r="H27" s="34"/>
      <x:c r="I27" s="34"/>
      <x:c r="J27" s="34"/>
      <x:c r="K27" s="34"/>
      <x:c r="L27" s="36" t="str">
        <x:f>IF(COUNTA(D27:K27)=8,"Complete","Missing fields")</x:f>
        <x:v>Missing fields</x:v>
      </x:c>
    </x:row>
    <x:row r="28" ht="68" customHeight="1">
      <x:c r="A28" s="30" t="str">
        <x:v>SPEC-04</x:v>
      </x:c>
      <x:c r="B28" s="30" t="str">
        <x:v>New Catering Voucher Tender Key Implementation on POS</x:v>
      </x:c>
      <x:c r="C28" s="30" t="str">
        <x:v>Clarification</x:v>
      </x:c>
      <x:c r="D28" s="32"/>
      <x:c r="E28" s="32"/>
      <x:c r="F28" s="32"/>
      <x:c r="G28" s="34"/>
      <x:c r="H28" s="34"/>
      <x:c r="I28" s="34"/>
      <x:c r="J28" s="34"/>
      <x:c r="K28" s="34"/>
      <x:c r="L28" s="36" t="str">
        <x:f>IF(COUNTA(D28:K28)=8,"Complete","Missing fields")</x:f>
        <x:v>Missing fields</x:v>
      </x:c>
    </x:row>
    <x:row r="29" ht="68" customHeight="1">
      <x:c r="A29" s="30" t="str">
        <x:v>SPEC-05</x:v>
      </x:c>
      <x:c r="B29" s="30" t="str">
        <x:v>New Extra-Large Beverage Size Addition to Menu</x:v>
      </x:c>
      <x:c r="C29" s="30" t="str">
        <x:v>Functional</x:v>
      </x:c>
      <x:c r="D29" s="32"/>
      <x:c r="E29" s="32"/>
      <x:c r="F29" s="32"/>
      <x:c r="G29" s="34"/>
      <x:c r="H29" s="34"/>
      <x:c r="I29" s="34"/>
      <x:c r="J29" s="34"/>
      <x:c r="K29" s="34"/>
      <x:c r="L29" s="36" t="str">
        <x:f>IF(COUNTA(D29:K29)=8,"Complete","Missing fields")</x:f>
        <x:v>Missing fields</x:v>
      </x:c>
    </x:row>
    <x:row r="30" ht="68" customHeight="1">
      <x:c r="A30" s="30" t="str">
        <x:v>SPEC-05</x:v>
      </x:c>
      <x:c r="B30" s="30" t="str">
        <x:v>New Extra-Large Beverage Size Addition to Menu</x:v>
      </x:c>
      <x:c r="C30" s="30" t="str">
        <x:v>Smoke</x:v>
      </x:c>
      <x:c r="D30" s="32"/>
      <x:c r="E30" s="32"/>
      <x:c r="F30" s="32"/>
      <x:c r="G30" s="34"/>
      <x:c r="H30" s="34"/>
      <x:c r="I30" s="34"/>
      <x:c r="J30" s="34"/>
      <x:c r="K30" s="34"/>
      <x:c r="L30" s="36" t="str">
        <x:f>IF(COUNTA(D30:K30)=8,"Complete","Missing fields")</x:f>
        <x:v>Missing fields</x:v>
      </x:c>
    </x:row>
    <x:row r="31" ht="68" customHeight="1">
      <x:c r="A31" s="30" t="str">
        <x:v>SPEC-05</x:v>
      </x:c>
      <x:c r="B31" s="30" t="str">
        <x:v>New Extra-Large Beverage Size Addition to Menu</x:v>
      </x:c>
      <x:c r="C31" s="30" t="str">
        <x:v>Regression</x:v>
      </x:c>
      <x:c r="D31" s="32"/>
      <x:c r="E31" s="32"/>
      <x:c r="F31" s="32"/>
      <x:c r="G31" s="34"/>
      <x:c r="H31" s="34"/>
      <x:c r="I31" s="34"/>
      <x:c r="J31" s="34"/>
      <x:c r="K31" s="34"/>
      <x:c r="L31" s="36" t="str">
        <x:f>IF(COUNTA(D31:K31)=8,"Complete","Missing fields")</x:f>
        <x:v>Missing fields</x:v>
      </x:c>
    </x:row>
    <x:row r="32" ht="68" customHeight="1">
      <x:c r="A32" s="30" t="str">
        <x:v>SPEC-05</x:v>
      </x:c>
      <x:c r="B32" s="30" t="str">
        <x:v>New Extra-Large Beverage Size Addition to Menu</x:v>
      </x:c>
      <x:c r="C32" s="30" t="str">
        <x:v>Integration</x:v>
      </x:c>
      <x:c r="D32" s="32"/>
      <x:c r="E32" s="32"/>
      <x:c r="F32" s="32"/>
      <x:c r="G32" s="34"/>
      <x:c r="H32" s="34"/>
      <x:c r="I32" s="34"/>
      <x:c r="J32" s="34"/>
      <x:c r="K32" s="34"/>
      <x:c r="L32" s="36" t="str">
        <x:f>IF(COUNTA(D32:K32)=8,"Complete","Missing fields")</x:f>
        <x:v>Missing fields</x:v>
      </x:c>
    </x:row>
    <x:row r="33" ht="68" customHeight="1">
      <x:c r="A33" s="30" t="str">
        <x:v>SPEC-05</x:v>
      </x:c>
      <x:c r="B33" s="30" t="str">
        <x:v>New Extra-Large Beverage Size Addition to Menu</x:v>
      </x:c>
      <x:c r="C33" s="30" t="str">
        <x:v>Exploratory</x:v>
      </x:c>
      <x:c r="D33" s="32"/>
      <x:c r="E33" s="32"/>
      <x:c r="F33" s="32"/>
      <x:c r="G33" s="34"/>
      <x:c r="H33" s="34"/>
      <x:c r="I33" s="34"/>
      <x:c r="J33" s="34"/>
      <x:c r="K33" s="34"/>
      <x:c r="L33" s="36" t="str">
        <x:f>IF(COUNTA(D33:K33)=8,"Complete","Missing fields")</x:f>
        <x:v>Missing fields</x:v>
      </x:c>
    </x:row>
    <x:row r="34" ht="68" customHeight="1">
      <x:c r="A34" s="30" t="str">
        <x:v>SPEC-05</x:v>
      </x:c>
      <x:c r="B34" s="30" t="str">
        <x:v>New Extra-Large Beverage Size Addition to Menu</x:v>
      </x:c>
      <x:c r="C34" s="30" t="str">
        <x:v>Clarification</x:v>
      </x:c>
      <x:c r="D34" s="32"/>
      <x:c r="E34" s="32"/>
      <x:c r="F34" s="32"/>
      <x:c r="G34" s="34"/>
      <x:c r="H34" s="34"/>
      <x:c r="I34" s="34"/>
      <x:c r="J34" s="34"/>
      <x:c r="K34" s="34"/>
      <x:c r="L34" s="36" t="str">
        <x:f>IF(COUNTA(D34:K34)=8,"Complete","Missing fields")</x:f>
        <x:v>Missing fields</x:v>
      </x:c>
    </x:row>
    <x:row r="35" ht="68" customHeight="1">
      <x:c r="A35" s="30" t="str">
        <x:v>SPEC-06</x:v>
      </x:c>
      <x:c r="B35" s="30" t="str">
        <x:v>Menu Item Availability App — Time Window Configuration Enhancement</x:v>
      </x:c>
      <x:c r="C35" s="30" t="str">
        <x:v>Functional</x:v>
      </x:c>
      <x:c r="D35" s="32"/>
      <x:c r="E35" s="32"/>
      <x:c r="F35" s="32"/>
      <x:c r="G35" s="34"/>
      <x:c r="H35" s="34"/>
      <x:c r="I35" s="34"/>
      <x:c r="J35" s="34"/>
      <x:c r="K35" s="34"/>
      <x:c r="L35" s="36" t="str">
        <x:f>IF(COUNTA(D35:K35)=8,"Complete","Missing fields")</x:f>
        <x:v>Missing fields</x:v>
      </x:c>
    </x:row>
    <x:row r="36" ht="68" customHeight="1">
      <x:c r="A36" s="30" t="str">
        <x:v>SPEC-06</x:v>
      </x:c>
      <x:c r="B36" s="30" t="str">
        <x:v>Menu Item Availability App — Time Window Configuration Enhancement</x:v>
      </x:c>
      <x:c r="C36" s="30" t="str">
        <x:v>Smoke</x:v>
      </x:c>
      <x:c r="D36" s="32"/>
      <x:c r="E36" s="32"/>
      <x:c r="F36" s="32"/>
      <x:c r="G36" s="34"/>
      <x:c r="H36" s="34"/>
      <x:c r="I36" s="34"/>
      <x:c r="J36" s="34"/>
      <x:c r="K36" s="34"/>
      <x:c r="L36" s="36" t="str">
        <x:f>IF(COUNTA(D36:K36)=8,"Complete","Missing fields")</x:f>
        <x:v>Missing fields</x:v>
      </x:c>
    </x:row>
    <x:row r="37" ht="68" customHeight="1">
      <x:c r="A37" s="30" t="str">
        <x:v>SPEC-06</x:v>
      </x:c>
      <x:c r="B37" s="30" t="str">
        <x:v>Menu Item Availability App — Time Window Configuration Enhancement</x:v>
      </x:c>
      <x:c r="C37" s="30" t="str">
        <x:v>Regression</x:v>
      </x:c>
      <x:c r="D37" s="32"/>
      <x:c r="E37" s="32"/>
      <x:c r="F37" s="32"/>
      <x:c r="G37" s="34"/>
      <x:c r="H37" s="34"/>
      <x:c r="I37" s="34"/>
      <x:c r="J37" s="34"/>
      <x:c r="K37" s="34"/>
      <x:c r="L37" s="36" t="str">
        <x:f>IF(COUNTA(D37:K37)=8,"Complete","Missing fields")</x:f>
        <x:v>Missing fields</x:v>
      </x:c>
    </x:row>
    <x:row r="38" ht="68" customHeight="1">
      <x:c r="A38" s="30" t="str">
        <x:v>SPEC-06</x:v>
      </x:c>
      <x:c r="B38" s="30" t="str">
        <x:v>Menu Item Availability App — Time Window Configuration Enhancement</x:v>
      </x:c>
      <x:c r="C38" s="30" t="str">
        <x:v>Integration</x:v>
      </x:c>
      <x:c r="D38" s="32"/>
      <x:c r="E38" s="32"/>
      <x:c r="F38" s="32"/>
      <x:c r="G38" s="34"/>
      <x:c r="H38" s="34"/>
      <x:c r="I38" s="34"/>
      <x:c r="J38" s="34"/>
      <x:c r="K38" s="34"/>
      <x:c r="L38" s="36" t="str">
        <x:f>IF(COUNTA(D38:K38)=8,"Complete","Missing fields")</x:f>
        <x:v>Missing fields</x:v>
      </x:c>
    </x:row>
    <x:row r="39" ht="68" customHeight="1">
      <x:c r="A39" s="30" t="str">
        <x:v>SPEC-06</x:v>
      </x:c>
      <x:c r="B39" s="30" t="str">
        <x:v>Menu Item Availability App — Time Window Configuration Enhancement</x:v>
      </x:c>
      <x:c r="C39" s="30" t="str">
        <x:v>Exploratory</x:v>
      </x:c>
      <x:c r="D39" s="32"/>
      <x:c r="E39" s="32"/>
      <x:c r="F39" s="32"/>
      <x:c r="G39" s="34"/>
      <x:c r="H39" s="34"/>
      <x:c r="I39" s="34"/>
      <x:c r="J39" s="34"/>
      <x:c r="K39" s="34"/>
      <x:c r="L39" s="36" t="str">
        <x:f>IF(COUNTA(D39:K39)=8,"Complete","Missing fields")</x:f>
        <x:v>Missing fields</x:v>
      </x:c>
    </x:row>
    <x:row r="40" ht="68" customHeight="1">
      <x:c r="A40" s="30" t="str">
        <x:v>SPEC-06</x:v>
      </x:c>
      <x:c r="B40" s="30" t="str">
        <x:v>Menu Item Availability App — Time Window Configuration Enhancement</x:v>
      </x:c>
      <x:c r="C40" s="30" t="str">
        <x:v>Clarification</x:v>
      </x:c>
      <x:c r="D40" s="32"/>
      <x:c r="E40" s="32"/>
      <x:c r="F40" s="32"/>
      <x:c r="G40" s="34"/>
      <x:c r="H40" s="34"/>
      <x:c r="I40" s="34"/>
      <x:c r="J40" s="34"/>
      <x:c r="K40" s="34"/>
      <x:c r="L40" s="36" t="str">
        <x:f>IF(COUNTA(D40:K40)=8,"Complete","Missing fields")</x:f>
        <x:v>Missing fields</x:v>
      </x:c>
    </x:row>
    <x:row r="41" ht="68" customHeight="1">
      <x:c r="A41" s="30" t="str">
        <x:v>SPEC-08</x:v>
      </x:c>
      <x:c r="B41" s="30" t="str">
        <x:v>Role-Based Access Control — Restrict Void on Empty Check for Fraud Prevention</x:v>
      </x:c>
      <x:c r="C41" s="30" t="str">
        <x:v>Functional</x:v>
      </x:c>
      <x:c r="D41" s="32"/>
      <x:c r="E41" s="32"/>
      <x:c r="F41" s="32"/>
      <x:c r="G41" s="34"/>
      <x:c r="H41" s="34"/>
      <x:c r="I41" s="34"/>
      <x:c r="J41" s="34"/>
      <x:c r="K41" s="34"/>
      <x:c r="L41" s="36" t="str">
        <x:f>IF(COUNTA(D41:K41)=8,"Complete","Missing fields")</x:f>
        <x:v>Missing fields</x:v>
      </x:c>
    </x:row>
    <x:row r="42" ht="68" customHeight="1">
      <x:c r="A42" s="30" t="str">
        <x:v>SPEC-08</x:v>
      </x:c>
      <x:c r="B42" s="30" t="str">
        <x:v>Role-Based Access Control — Restrict Void on Empty Check for Fraud Prevention</x:v>
      </x:c>
      <x:c r="C42" s="30" t="str">
        <x:v>Smoke</x:v>
      </x:c>
      <x:c r="D42" s="32"/>
      <x:c r="E42" s="32"/>
      <x:c r="F42" s="32"/>
      <x:c r="G42" s="34"/>
      <x:c r="H42" s="34"/>
      <x:c r="I42" s="34"/>
      <x:c r="J42" s="34"/>
      <x:c r="K42" s="34"/>
      <x:c r="L42" s="36" t="str">
        <x:f>IF(COUNTA(D42:K42)=8,"Complete","Missing fields")</x:f>
        <x:v>Missing fields</x:v>
      </x:c>
    </x:row>
    <x:row r="43" ht="68" customHeight="1">
      <x:c r="A43" s="30" t="str">
        <x:v>SPEC-08</x:v>
      </x:c>
      <x:c r="B43" s="30" t="str">
        <x:v>Role-Based Access Control — Restrict Void on Empty Check for Fraud Prevention</x:v>
      </x:c>
      <x:c r="C43" s="30" t="str">
        <x:v>Regression</x:v>
      </x:c>
      <x:c r="D43" s="32"/>
      <x:c r="E43" s="32"/>
      <x:c r="F43" s="32"/>
      <x:c r="G43" s="34"/>
      <x:c r="H43" s="34"/>
      <x:c r="I43" s="34"/>
      <x:c r="J43" s="34"/>
      <x:c r="K43" s="34"/>
      <x:c r="L43" s="36" t="str">
        <x:f>IF(COUNTA(D43:K43)=8,"Complete","Missing fields")</x:f>
        <x:v>Missing fields</x:v>
      </x:c>
    </x:row>
    <x:row r="44" ht="68" customHeight="1">
      <x:c r="A44" s="30" t="str">
        <x:v>SPEC-08</x:v>
      </x:c>
      <x:c r="B44" s="30" t="str">
        <x:v>Role-Based Access Control — Restrict Void on Empty Check for Fraud Prevention</x:v>
      </x:c>
      <x:c r="C44" s="30" t="str">
        <x:v>Integration</x:v>
      </x:c>
      <x:c r="D44" s="32"/>
      <x:c r="E44" s="32"/>
      <x:c r="F44" s="32"/>
      <x:c r="G44" s="34"/>
      <x:c r="H44" s="34"/>
      <x:c r="I44" s="34"/>
      <x:c r="J44" s="34"/>
      <x:c r="K44" s="34"/>
      <x:c r="L44" s="36" t="str">
        <x:f>IF(COUNTA(D44:K44)=8,"Complete","Missing fields")</x:f>
        <x:v>Missing fields</x:v>
      </x:c>
    </x:row>
    <x:row r="45" ht="68" customHeight="1">
      <x:c r="A45" s="30" t="str">
        <x:v>SPEC-08</x:v>
      </x:c>
      <x:c r="B45" s="30" t="str">
        <x:v>Role-Based Access Control — Restrict Void on Empty Check for Fraud Prevention</x:v>
      </x:c>
      <x:c r="C45" s="30" t="str">
        <x:v>Exploratory</x:v>
      </x:c>
      <x:c r="D45" s="32"/>
      <x:c r="E45" s="32"/>
      <x:c r="F45" s="32"/>
      <x:c r="G45" s="34"/>
      <x:c r="H45" s="34"/>
      <x:c r="I45" s="34"/>
      <x:c r="J45" s="34"/>
      <x:c r="K45" s="34"/>
      <x:c r="L45" s="36" t="str">
        <x:f>IF(COUNTA(D45:K45)=8,"Complete","Missing fields")</x:f>
        <x:v>Missing fields</x:v>
      </x:c>
    </x:row>
    <x:row r="46" ht="68" customHeight="1">
      <x:c r="A46" s="30" t="str">
        <x:v>SPEC-08</x:v>
      </x:c>
      <x:c r="B46" s="30" t="str">
        <x:v>Role-Based Access Control — Restrict Void on Empty Check for Fraud Prevention</x:v>
      </x:c>
      <x:c r="C46" s="30" t="str">
        <x:v>Clarification</x:v>
      </x:c>
      <x:c r="D46" s="32"/>
      <x:c r="E46" s="32"/>
      <x:c r="F46" s="32"/>
      <x:c r="G46" s="34"/>
      <x:c r="H46" s="34"/>
      <x:c r="I46" s="34"/>
      <x:c r="J46" s="34"/>
      <x:c r="K46" s="34"/>
      <x:c r="L46" s="36" t="str">
        <x:f>IF(COUNTA(D46:K46)=8,"Complete","Missing fields")</x:f>
        <x:v>Missing fields</x:v>
      </x:c>
    </x:row>
    <x:row r="47" ht="68" customHeight="1">
      <x:c r="A47" s="30" t="str">
        <x:v>SPEC-09</x:v>
      </x:c>
      <x:c r="B47" s="30" t="str">
        <x:v>Delivery Markup Percentage Update for Third-Party Delivery Platform</x:v>
      </x:c>
      <x:c r="C47" s="30" t="str">
        <x:v>Functional</x:v>
      </x:c>
      <x:c r="D47" s="32"/>
      <x:c r="E47" s="32"/>
      <x:c r="F47" s="32"/>
      <x:c r="G47" s="34"/>
      <x:c r="H47" s="34"/>
      <x:c r="I47" s="34"/>
      <x:c r="J47" s="34"/>
      <x:c r="K47" s="34"/>
      <x:c r="L47" s="36" t="str">
        <x:f>IF(COUNTA(D47:K47)=8,"Complete","Missing fields")</x:f>
        <x:v>Missing fields</x:v>
      </x:c>
    </x:row>
    <x:row r="48" ht="68" customHeight="1">
      <x:c r="A48" s="30" t="str">
        <x:v>SPEC-09</x:v>
      </x:c>
      <x:c r="B48" s="30" t="str">
        <x:v>Delivery Markup Percentage Update for Third-Party Delivery Platform</x:v>
      </x:c>
      <x:c r="C48" s="30" t="str">
        <x:v>Smoke</x:v>
      </x:c>
      <x:c r="D48" s="32"/>
      <x:c r="E48" s="32"/>
      <x:c r="F48" s="32"/>
      <x:c r="G48" s="34"/>
      <x:c r="H48" s="34"/>
      <x:c r="I48" s="34"/>
      <x:c r="J48" s="34"/>
      <x:c r="K48" s="34"/>
      <x:c r="L48" s="36" t="str">
        <x:f>IF(COUNTA(D48:K48)=8,"Complete","Missing fields")</x:f>
        <x:v>Missing fields</x:v>
      </x:c>
    </x:row>
    <x:row r="49" ht="68" customHeight="1">
      <x:c r="A49" s="30" t="str">
        <x:v>SPEC-09</x:v>
      </x:c>
      <x:c r="B49" s="30" t="str">
        <x:v>Delivery Markup Percentage Update for Third-Party Delivery Platform</x:v>
      </x:c>
      <x:c r="C49" s="30" t="str">
        <x:v>Regression</x:v>
      </x:c>
      <x:c r="D49" s="32"/>
      <x:c r="E49" s="32"/>
      <x:c r="F49" s="32"/>
      <x:c r="G49" s="34"/>
      <x:c r="H49" s="34"/>
      <x:c r="I49" s="34"/>
      <x:c r="J49" s="34"/>
      <x:c r="K49" s="34"/>
      <x:c r="L49" s="36" t="str">
        <x:f>IF(COUNTA(D49:K49)=8,"Complete","Missing fields")</x:f>
        <x:v>Missing fields</x:v>
      </x:c>
    </x:row>
    <x:row r="50" ht="68" customHeight="1">
      <x:c r="A50" s="30" t="str">
        <x:v>SPEC-09</x:v>
      </x:c>
      <x:c r="B50" s="30" t="str">
        <x:v>Delivery Markup Percentage Update for Third-Party Delivery Platform</x:v>
      </x:c>
      <x:c r="C50" s="30" t="str">
        <x:v>Integration</x:v>
      </x:c>
      <x:c r="D50" s="32"/>
      <x:c r="E50" s="32"/>
      <x:c r="F50" s="32"/>
      <x:c r="G50" s="34"/>
      <x:c r="H50" s="34"/>
      <x:c r="I50" s="34"/>
      <x:c r="J50" s="34"/>
      <x:c r="K50" s="34"/>
      <x:c r="L50" s="36" t="str">
        <x:f>IF(COUNTA(D50:K50)=8,"Complete","Missing fields")</x:f>
        <x:v>Missing fields</x:v>
      </x:c>
    </x:row>
    <x:row r="51" ht="68" customHeight="1">
      <x:c r="A51" s="30" t="str">
        <x:v>SPEC-09</x:v>
      </x:c>
      <x:c r="B51" s="30" t="str">
        <x:v>Delivery Markup Percentage Update for Third-Party Delivery Platform</x:v>
      </x:c>
      <x:c r="C51" s="30" t="str">
        <x:v>Exploratory</x:v>
      </x:c>
      <x:c r="D51" s="32"/>
      <x:c r="E51" s="32"/>
      <x:c r="F51" s="32"/>
      <x:c r="G51" s="34"/>
      <x:c r="H51" s="34"/>
      <x:c r="I51" s="34"/>
      <x:c r="J51" s="34"/>
      <x:c r="K51" s="34"/>
      <x:c r="L51" s="36" t="str">
        <x:f>IF(COUNTA(D51:K51)=8,"Complete","Missing fields")</x:f>
        <x:v>Missing fields</x:v>
      </x:c>
    </x:row>
    <x:row r="52" ht="68" customHeight="1">
      <x:c r="A52" s="30" t="str">
        <x:v>SPEC-09</x:v>
      </x:c>
      <x:c r="B52" s="30" t="str">
        <x:v>Delivery Markup Percentage Update for Third-Party Delivery Platform</x:v>
      </x:c>
      <x:c r="C52" s="30" t="str">
        <x:v>Clarification</x:v>
      </x:c>
      <x:c r="D52" s="32"/>
      <x:c r="E52" s="32"/>
      <x:c r="F52" s="32"/>
      <x:c r="G52" s="34"/>
      <x:c r="H52" s="34"/>
      <x:c r="I52" s="34"/>
      <x:c r="J52" s="34"/>
      <x:c r="K52" s="34"/>
      <x:c r="L52" s="36" t="str">
        <x:f>IF(COUNTA(D52:K52)=8,"Complete","Missing fields")</x:f>
        <x:v>Missing fields</x:v>
      </x:c>
    </x:row>
    <x:row r="53" ht="68" customHeight="1">
      <x:c r="A53" s="30" t="str">
        <x:v>SPEC-10</x:v>
      </x:c>
      <x:c r="B53" s="30" t="str">
        <x:v>SSL Certificate Renewal for Loyalty Platform Integration</x:v>
      </x:c>
      <x:c r="C53" s="30" t="str">
        <x:v>Functional</x:v>
      </x:c>
      <x:c r="D53" s="32"/>
      <x:c r="E53" s="32"/>
      <x:c r="F53" s="32"/>
      <x:c r="G53" s="34"/>
      <x:c r="H53" s="34"/>
      <x:c r="I53" s="34"/>
      <x:c r="J53" s="34"/>
      <x:c r="K53" s="34"/>
      <x:c r="L53" s="36" t="str">
        <x:f>IF(COUNTA(D53:K53)=8,"Complete","Missing fields")</x:f>
        <x:v>Missing fields</x:v>
      </x:c>
    </x:row>
    <x:row r="54" ht="68" customHeight="1">
      <x:c r="A54" s="30" t="str">
        <x:v>SPEC-10</x:v>
      </x:c>
      <x:c r="B54" s="30" t="str">
        <x:v>SSL Certificate Renewal for Loyalty Platform Integration</x:v>
      </x:c>
      <x:c r="C54" s="30" t="str">
        <x:v>Smoke</x:v>
      </x:c>
      <x:c r="D54" s="32"/>
      <x:c r="E54" s="32"/>
      <x:c r="F54" s="32"/>
      <x:c r="G54" s="34"/>
      <x:c r="H54" s="34"/>
      <x:c r="I54" s="34"/>
      <x:c r="J54" s="34"/>
      <x:c r="K54" s="34"/>
      <x:c r="L54" s="36" t="str">
        <x:f>IF(COUNTA(D54:K54)=8,"Complete","Missing fields")</x:f>
        <x:v>Missing fields</x:v>
      </x:c>
    </x:row>
    <x:row r="55" ht="68" customHeight="1">
      <x:c r="A55" s="30" t="str">
        <x:v>SPEC-10</x:v>
      </x:c>
      <x:c r="B55" s="30" t="str">
        <x:v>SSL Certificate Renewal for Loyalty Platform Integration</x:v>
      </x:c>
      <x:c r="C55" s="30" t="str">
        <x:v>Regression</x:v>
      </x:c>
      <x:c r="D55" s="32"/>
      <x:c r="E55" s="32"/>
      <x:c r="F55" s="32"/>
      <x:c r="G55" s="34"/>
      <x:c r="H55" s="34"/>
      <x:c r="I55" s="34"/>
      <x:c r="J55" s="34"/>
      <x:c r="K55" s="34"/>
      <x:c r="L55" s="36" t="str">
        <x:f>IF(COUNTA(D55:K55)=8,"Complete","Missing fields")</x:f>
        <x:v>Missing fields</x:v>
      </x:c>
    </x:row>
    <x:row r="56" ht="68" customHeight="1">
      <x:c r="A56" s="30" t="str">
        <x:v>SPEC-10</x:v>
      </x:c>
      <x:c r="B56" s="30" t="str">
        <x:v>SSL Certificate Renewal for Loyalty Platform Integration</x:v>
      </x:c>
      <x:c r="C56" s="30" t="str">
        <x:v>Integration</x:v>
      </x:c>
      <x:c r="D56" s="32"/>
      <x:c r="E56" s="32"/>
      <x:c r="F56" s="32"/>
      <x:c r="G56" s="34"/>
      <x:c r="H56" s="34"/>
      <x:c r="I56" s="34"/>
      <x:c r="J56" s="34"/>
      <x:c r="K56" s="34"/>
      <x:c r="L56" s="36" t="str">
        <x:f>IF(COUNTA(D56:K56)=8,"Complete","Missing fields")</x:f>
        <x:v>Missing fields</x:v>
      </x:c>
    </x:row>
    <x:row r="57" ht="68" customHeight="1">
      <x:c r="A57" s="30" t="str">
        <x:v>SPEC-10</x:v>
      </x:c>
      <x:c r="B57" s="30" t="str">
        <x:v>SSL Certificate Renewal for Loyalty Platform Integration</x:v>
      </x:c>
      <x:c r="C57" s="30" t="str">
        <x:v>Exploratory</x:v>
      </x:c>
      <x:c r="D57" s="32"/>
      <x:c r="E57" s="32"/>
      <x:c r="F57" s="32"/>
      <x:c r="G57" s="34"/>
      <x:c r="H57" s="34"/>
      <x:c r="I57" s="34"/>
      <x:c r="J57" s="34"/>
      <x:c r="K57" s="34"/>
      <x:c r="L57" s="36" t="str">
        <x:f>IF(COUNTA(D57:K57)=8,"Complete","Missing fields")</x:f>
        <x:v>Missing fields</x:v>
      </x:c>
    </x:row>
    <x:row r="58" ht="68" customHeight="1">
      <x:c r="A58" s="30" t="str">
        <x:v>SPEC-10</x:v>
      </x:c>
      <x:c r="B58" s="30" t="str">
        <x:v>SSL Certificate Renewal for Loyalty Platform Integration</x:v>
      </x:c>
      <x:c r="C58" s="30" t="str">
        <x:v>Clarification</x:v>
      </x:c>
      <x:c r="D58" s="32"/>
      <x:c r="E58" s="32"/>
      <x:c r="F58" s="32"/>
      <x:c r="G58" s="34"/>
      <x:c r="H58" s="34"/>
      <x:c r="I58" s="34"/>
      <x:c r="J58" s="34"/>
      <x:c r="K58" s="34"/>
      <x:c r="L58" s="36" t="str">
        <x:f>IF(COUNTA(D58:K58)=8,"Complete","Missing fields")</x:f>
        <x:v>Missing fields</x:v>
      </x:c>
    </x:row>
    <x:row r="59" ht="68" customHeight="1">
      <x:c r="A59" s="30" t="str">
        <x:v>SPEC-11</x:v>
      </x:c>
      <x:c r="B59" s="30" t="str">
        <x:v>Mobile App Advance Order — Price Lock Behavior When Item Prices Change Before Fulfillment</x:v>
      </x:c>
      <x:c r="C59" s="30" t="str">
        <x:v>Functional</x:v>
      </x:c>
      <x:c r="D59" s="32"/>
      <x:c r="E59" s="32"/>
      <x:c r="F59" s="32"/>
      <x:c r="G59" s="34"/>
      <x:c r="H59" s="34"/>
      <x:c r="I59" s="34"/>
      <x:c r="J59" s="34"/>
      <x:c r="K59" s="34"/>
      <x:c r="L59" s="36" t="str">
        <x:f>IF(COUNTA(D59:K59)=8,"Complete","Missing fields")</x:f>
        <x:v>Missing fields</x:v>
      </x:c>
    </x:row>
    <x:row r="60" ht="68" customHeight="1">
      <x:c r="A60" s="30" t="str">
        <x:v>SPEC-11</x:v>
      </x:c>
      <x:c r="B60" s="30" t="str">
        <x:v>Mobile App Advance Order — Price Lock Behavior When Item Prices Change Before Fulfillment</x:v>
      </x:c>
      <x:c r="C60" s="30" t="str">
        <x:v>Smoke</x:v>
      </x:c>
      <x:c r="D60" s="32"/>
      <x:c r="E60" s="32"/>
      <x:c r="F60" s="32"/>
      <x:c r="G60" s="34"/>
      <x:c r="H60" s="34"/>
      <x:c r="I60" s="34"/>
      <x:c r="J60" s="34"/>
      <x:c r="K60" s="34"/>
      <x:c r="L60" s="36" t="str">
        <x:f>IF(COUNTA(D60:K60)=8,"Complete","Missing fields")</x:f>
        <x:v>Missing fields</x:v>
      </x:c>
    </x:row>
    <x:row r="61" ht="68" customHeight="1">
      <x:c r="A61" s="30" t="str">
        <x:v>SPEC-11</x:v>
      </x:c>
      <x:c r="B61" s="30" t="str">
        <x:v>Mobile App Advance Order — Price Lock Behavior When Item Prices Change Before Fulfillment</x:v>
      </x:c>
      <x:c r="C61" s="30" t="str">
        <x:v>Regression</x:v>
      </x:c>
      <x:c r="D61" s="32"/>
      <x:c r="E61" s="32"/>
      <x:c r="F61" s="32"/>
      <x:c r="G61" s="34"/>
      <x:c r="H61" s="34"/>
      <x:c r="I61" s="34"/>
      <x:c r="J61" s="34"/>
      <x:c r="K61" s="34"/>
      <x:c r="L61" s="36" t="str">
        <x:f>IF(COUNTA(D61:K61)=8,"Complete","Missing fields")</x:f>
        <x:v>Missing fields</x:v>
      </x:c>
    </x:row>
    <x:row r="62" ht="68" customHeight="1">
      <x:c r="A62" s="30" t="str">
        <x:v>SPEC-11</x:v>
      </x:c>
      <x:c r="B62" s="30" t="str">
        <x:v>Mobile App Advance Order — Price Lock Behavior When Item Prices Change Before Fulfillment</x:v>
      </x:c>
      <x:c r="C62" s="30" t="str">
        <x:v>Integration</x:v>
      </x:c>
      <x:c r="D62" s="32"/>
      <x:c r="E62" s="32"/>
      <x:c r="F62" s="32"/>
      <x:c r="G62" s="34"/>
      <x:c r="H62" s="34"/>
      <x:c r="I62" s="34"/>
      <x:c r="J62" s="34"/>
      <x:c r="K62" s="34"/>
      <x:c r="L62" s="36" t="str">
        <x:f>IF(COUNTA(D62:K62)=8,"Complete","Missing fields")</x:f>
        <x:v>Missing fields</x:v>
      </x:c>
    </x:row>
    <x:row r="63" ht="68" customHeight="1">
      <x:c r="A63" s="30" t="str">
        <x:v>SPEC-11</x:v>
      </x:c>
      <x:c r="B63" s="30" t="str">
        <x:v>Mobile App Advance Order — Price Lock Behavior When Item Prices Change Before Fulfillment</x:v>
      </x:c>
      <x:c r="C63" s="30" t="str">
        <x:v>Exploratory</x:v>
      </x:c>
      <x:c r="D63" s="32"/>
      <x:c r="E63" s="32"/>
      <x:c r="F63" s="32"/>
      <x:c r="G63" s="34"/>
      <x:c r="H63" s="34"/>
      <x:c r="I63" s="34"/>
      <x:c r="J63" s="34"/>
      <x:c r="K63" s="34"/>
      <x:c r="L63" s="36" t="str">
        <x:f>IF(COUNTA(D63:K63)=8,"Complete","Missing fields")</x:f>
        <x:v>Missing fields</x:v>
      </x:c>
    </x:row>
    <x:row r="64" ht="68" customHeight="1">
      <x:c r="A64" s="30" t="str">
        <x:v>SPEC-11</x:v>
      </x:c>
      <x:c r="B64" s="30" t="str">
        <x:v>Mobile App Advance Order — Price Lock Behavior When Item Prices Change Before Fulfillment</x:v>
      </x:c>
      <x:c r="C64" s="30" t="str">
        <x:v>Clarification</x:v>
      </x:c>
      <x:c r="D64" s="32"/>
      <x:c r="E64" s="32"/>
      <x:c r="F64" s="32"/>
      <x:c r="G64" s="34"/>
      <x:c r="H64" s="34"/>
      <x:c r="I64" s="34"/>
      <x:c r="J64" s="34"/>
      <x:c r="K64" s="34"/>
      <x:c r="L64" s="36" t="str">
        <x:f>IF(COUNTA(D64:K64)=8,"Complete","Missing fields")</x:f>
        <x:v>Missing fields</x:v>
      </x:c>
    </x:row>
    <x:row r="65" ht="68" customHeight="1">
      <x:c r="A65" s="30" t="str">
        <x:v>SPEC-12</x:v>
      </x:c>
      <x:c r="B65" s="30" t="str">
        <x:v>Financial Report Layout Change — Move Third-Party Delivery Detail Section to Bottom</x:v>
      </x:c>
      <x:c r="C65" s="30" t="str">
        <x:v>Functional</x:v>
      </x:c>
      <x:c r="D65" s="32"/>
      <x:c r="E65" s="32"/>
      <x:c r="F65" s="32"/>
      <x:c r="G65" s="34"/>
      <x:c r="H65" s="34"/>
      <x:c r="I65" s="34"/>
      <x:c r="J65" s="34"/>
      <x:c r="K65" s="34"/>
      <x:c r="L65" s="36" t="str">
        <x:f>IF(COUNTA(D65:K65)=8,"Complete","Missing fields")</x:f>
        <x:v>Missing fields</x:v>
      </x:c>
    </x:row>
    <x:row r="66" ht="68" customHeight="1">
      <x:c r="A66" s="30" t="str">
        <x:v>SPEC-12</x:v>
      </x:c>
      <x:c r="B66" s="30" t="str">
        <x:v>Financial Report Layout Change — Move Third-Party Delivery Detail Section to Bottom</x:v>
      </x:c>
      <x:c r="C66" s="30" t="str">
        <x:v>Smoke</x:v>
      </x:c>
      <x:c r="D66" s="32"/>
      <x:c r="E66" s="32"/>
      <x:c r="F66" s="32"/>
      <x:c r="G66" s="34"/>
      <x:c r="H66" s="34"/>
      <x:c r="I66" s="34"/>
      <x:c r="J66" s="34"/>
      <x:c r="K66" s="34"/>
      <x:c r="L66" s="36" t="str">
        <x:f>IF(COUNTA(D66:K66)=8,"Complete","Missing fields")</x:f>
        <x:v>Missing fields</x:v>
      </x:c>
    </x:row>
    <x:row r="67" ht="68" customHeight="1">
      <x:c r="A67" s="30" t="str">
        <x:v>SPEC-12</x:v>
      </x:c>
      <x:c r="B67" s="30" t="str">
        <x:v>Financial Report Layout Change — Move Third-Party Delivery Detail Section to Bottom</x:v>
      </x:c>
      <x:c r="C67" s="30" t="str">
        <x:v>Regression</x:v>
      </x:c>
      <x:c r="D67" s="32"/>
      <x:c r="E67" s="32"/>
      <x:c r="F67" s="32"/>
      <x:c r="G67" s="34"/>
      <x:c r="H67" s="34"/>
      <x:c r="I67" s="34"/>
      <x:c r="J67" s="34"/>
      <x:c r="K67" s="34"/>
      <x:c r="L67" s="36" t="str">
        <x:f>IF(COUNTA(D67:K67)=8,"Complete","Missing fields")</x:f>
        <x:v>Missing fields</x:v>
      </x:c>
    </x:row>
    <x:row r="68" ht="68" customHeight="1">
      <x:c r="A68" s="30" t="str">
        <x:v>SPEC-12</x:v>
      </x:c>
      <x:c r="B68" s="30" t="str">
        <x:v>Financial Report Layout Change — Move Third-Party Delivery Detail Section to Bottom</x:v>
      </x:c>
      <x:c r="C68" s="30" t="str">
        <x:v>Integration</x:v>
      </x:c>
      <x:c r="D68" s="32"/>
      <x:c r="E68" s="32"/>
      <x:c r="F68" s="32"/>
      <x:c r="G68" s="34"/>
      <x:c r="H68" s="34"/>
      <x:c r="I68" s="34"/>
      <x:c r="J68" s="34"/>
      <x:c r="K68" s="34"/>
      <x:c r="L68" s="36" t="str">
        <x:f>IF(COUNTA(D68:K68)=8,"Complete","Missing fields")</x:f>
        <x:v>Missing fields</x:v>
      </x:c>
    </x:row>
    <x:row r="69" ht="68" customHeight="1">
      <x:c r="A69" s="30" t="str">
        <x:v>SPEC-12</x:v>
      </x:c>
      <x:c r="B69" s="30" t="str">
        <x:v>Financial Report Layout Change — Move Third-Party Delivery Detail Section to Bottom</x:v>
      </x:c>
      <x:c r="C69" s="30" t="str">
        <x:v>Exploratory</x:v>
      </x:c>
      <x:c r="D69" s="32"/>
      <x:c r="E69" s="32"/>
      <x:c r="F69" s="32"/>
      <x:c r="G69" s="34"/>
      <x:c r="H69" s="34"/>
      <x:c r="I69" s="34"/>
      <x:c r="J69" s="34"/>
      <x:c r="K69" s="34"/>
      <x:c r="L69" s="36" t="str">
        <x:f>IF(COUNTA(D69:K69)=8,"Complete","Missing fields")</x:f>
        <x:v>Missing fields</x:v>
      </x:c>
    </x:row>
    <x:row r="70" ht="68" customHeight="1">
      <x:c r="A70" s="30" t="str">
        <x:v>SPEC-12</x:v>
      </x:c>
      <x:c r="B70" s="30" t="str">
        <x:v>Financial Report Layout Change — Move Third-Party Delivery Detail Section to Bottom</x:v>
      </x:c>
      <x:c r="C70" s="30" t="str">
        <x:v>Clarification</x:v>
      </x:c>
      <x:c r="D70" s="32"/>
      <x:c r="E70" s="32"/>
      <x:c r="F70" s="32"/>
      <x:c r="G70" s="34"/>
      <x:c r="H70" s="34"/>
      <x:c r="I70" s="34"/>
      <x:c r="J70" s="34"/>
      <x:c r="K70" s="34"/>
      <x:c r="L70" s="36" t="str">
        <x:f>IF(COUNTA(D70:K70)=8,"Complete","Missing fields")</x:f>
        <x:v>Missing fields</x:v>
      </x:c>
    </x:row>
    <x:row r="71" ht="68" customHeight="1">
      <x:c r="A71" s="30" t="str">
        <x:v>SPEC-13</x:v>
      </x:c>
      <x:c r="B71" s="30" t="str">
        <x:v>POS Hierarchy Zone Addition for Full-Menu Non-Traditional Store Locations</x:v>
      </x:c>
      <x:c r="C71" s="30" t="str">
        <x:v>Functional</x:v>
      </x:c>
      <x:c r="D71" s="32"/>
      <x:c r="E71" s="32"/>
      <x:c r="F71" s="32"/>
      <x:c r="G71" s="34"/>
      <x:c r="H71" s="34"/>
      <x:c r="I71" s="34"/>
      <x:c r="J71" s="34"/>
      <x:c r="K71" s="34"/>
      <x:c r="L71" s="36" t="str">
        <x:f>IF(COUNTA(D71:K71)=8,"Complete","Missing fields")</x:f>
        <x:v>Missing fields</x:v>
      </x:c>
    </x:row>
    <x:row r="72" ht="68" customHeight="1">
      <x:c r="A72" s="30" t="str">
        <x:v>SPEC-13</x:v>
      </x:c>
      <x:c r="B72" s="30" t="str">
        <x:v>POS Hierarchy Zone Addition for Full-Menu Non-Traditional Store Locations</x:v>
      </x:c>
      <x:c r="C72" s="30" t="str">
        <x:v>Smoke</x:v>
      </x:c>
      <x:c r="D72" s="32"/>
      <x:c r="E72" s="32"/>
      <x:c r="F72" s="32"/>
      <x:c r="G72" s="34"/>
      <x:c r="H72" s="34"/>
      <x:c r="I72" s="34"/>
      <x:c r="J72" s="34"/>
      <x:c r="K72" s="34"/>
      <x:c r="L72" s="36" t="str">
        <x:f>IF(COUNTA(D72:K72)=8,"Complete","Missing fields")</x:f>
        <x:v>Missing fields</x:v>
      </x:c>
    </x:row>
    <x:row r="73" ht="68" customHeight="1">
      <x:c r="A73" s="30" t="str">
        <x:v>SPEC-13</x:v>
      </x:c>
      <x:c r="B73" s="30" t="str">
        <x:v>POS Hierarchy Zone Addition for Full-Menu Non-Traditional Store Locations</x:v>
      </x:c>
      <x:c r="C73" s="30" t="str">
        <x:v>Regression</x:v>
      </x:c>
      <x:c r="D73" s="32"/>
      <x:c r="E73" s="32"/>
      <x:c r="F73" s="32"/>
      <x:c r="G73" s="34"/>
      <x:c r="H73" s="34"/>
      <x:c r="I73" s="34"/>
      <x:c r="J73" s="34"/>
      <x:c r="K73" s="34"/>
      <x:c r="L73" s="36" t="str">
        <x:f>IF(COUNTA(D73:K73)=8,"Complete","Missing fields")</x:f>
        <x:v>Missing fields</x:v>
      </x:c>
    </x:row>
    <x:row r="74" ht="68" customHeight="1">
      <x:c r="A74" s="30" t="str">
        <x:v>SPEC-13</x:v>
      </x:c>
      <x:c r="B74" s="30" t="str">
        <x:v>POS Hierarchy Zone Addition for Full-Menu Non-Traditional Store Locations</x:v>
      </x:c>
      <x:c r="C74" s="30" t="str">
        <x:v>Integration</x:v>
      </x:c>
      <x:c r="D74" s="32"/>
      <x:c r="E74" s="32"/>
      <x:c r="F74" s="32"/>
      <x:c r="G74" s="34"/>
      <x:c r="H74" s="34"/>
      <x:c r="I74" s="34"/>
      <x:c r="J74" s="34"/>
      <x:c r="K74" s="34"/>
      <x:c r="L74" s="36" t="str">
        <x:f>IF(COUNTA(D74:K74)=8,"Complete","Missing fields")</x:f>
        <x:v>Missing fields</x:v>
      </x:c>
    </x:row>
    <x:row r="75" ht="68" customHeight="1">
      <x:c r="A75" s="30" t="str">
        <x:v>SPEC-13</x:v>
      </x:c>
      <x:c r="B75" s="30" t="str">
        <x:v>POS Hierarchy Zone Addition for Full-Menu Non-Traditional Store Locations</x:v>
      </x:c>
      <x:c r="C75" s="30" t="str">
        <x:v>Exploratory</x:v>
      </x:c>
      <x:c r="D75" s="32"/>
      <x:c r="E75" s="32"/>
      <x:c r="F75" s="32"/>
      <x:c r="G75" s="34"/>
      <x:c r="H75" s="34"/>
      <x:c r="I75" s="34"/>
      <x:c r="J75" s="34"/>
      <x:c r="K75" s="34"/>
      <x:c r="L75" s="36" t="str">
        <x:f>IF(COUNTA(D75:K75)=8,"Complete","Missing fields")</x:f>
        <x:v>Missing fields</x:v>
      </x:c>
    </x:row>
    <x:row r="76" ht="68" customHeight="1">
      <x:c r="A76" s="30" t="str">
        <x:v>SPEC-13</x:v>
      </x:c>
      <x:c r="B76" s="30" t="str">
        <x:v>POS Hierarchy Zone Addition for Full-Menu Non-Traditional Store Locations</x:v>
      </x:c>
      <x:c r="C76" s="30" t="str">
        <x:v>Clarification</x:v>
      </x:c>
      <x:c r="D76" s="32"/>
      <x:c r="E76" s="32"/>
      <x:c r="F76" s="32"/>
      <x:c r="G76" s="34"/>
      <x:c r="H76" s="34"/>
      <x:c r="I76" s="34"/>
      <x:c r="J76" s="34"/>
      <x:c r="K76" s="34"/>
      <x:c r="L76" s="36" t="str">
        <x:f>IF(COUNTA(D76:K76)=8,"Complete","Missing fields")</x:f>
        <x:v>Missing fields</x:v>
      </x:c>
    </x:row>
    <x:row r="77" ht="68" customHeight="1">
      <x:c r="A77" s="30" t="str">
        <x:v>SPEC-14</x:v>
      </x:c>
      <x:c r="B77" s="30" t="str">
        <x:v>Digital Ordering App Version Upgrade — Multi-Device and Multi-OS Compatibility Testing</x:v>
      </x:c>
      <x:c r="C77" s="30" t="str">
        <x:v>Functional</x:v>
      </x:c>
      <x:c r="D77" s="32"/>
      <x:c r="E77" s="32"/>
      <x:c r="F77" s="32"/>
      <x:c r="G77" s="34"/>
      <x:c r="H77" s="34"/>
      <x:c r="I77" s="34"/>
      <x:c r="J77" s="34"/>
      <x:c r="K77" s="34"/>
      <x:c r="L77" s="36" t="str">
        <x:f>IF(COUNTA(D77:K77)=8,"Complete","Missing fields")</x:f>
        <x:v>Missing fields</x:v>
      </x:c>
    </x:row>
    <x:row r="78" ht="68" customHeight="1">
      <x:c r="A78" s="30" t="str">
        <x:v>SPEC-14</x:v>
      </x:c>
      <x:c r="B78" s="30" t="str">
        <x:v>Digital Ordering App Version Upgrade — Multi-Device and Multi-OS Compatibility Testing</x:v>
      </x:c>
      <x:c r="C78" s="30" t="str">
        <x:v>Smoke</x:v>
      </x:c>
      <x:c r="D78" s="32"/>
      <x:c r="E78" s="32"/>
      <x:c r="F78" s="32"/>
      <x:c r="G78" s="34"/>
      <x:c r="H78" s="34"/>
      <x:c r="I78" s="34"/>
      <x:c r="J78" s="34"/>
      <x:c r="K78" s="34"/>
      <x:c r="L78" s="36" t="str">
        <x:f>IF(COUNTA(D78:K78)=8,"Complete","Missing fields")</x:f>
        <x:v>Missing fields</x:v>
      </x:c>
    </x:row>
    <x:row r="79" ht="68" customHeight="1">
      <x:c r="A79" s="30" t="str">
        <x:v>SPEC-14</x:v>
      </x:c>
      <x:c r="B79" s="30" t="str">
        <x:v>Digital Ordering App Version Upgrade — Multi-Device and Multi-OS Compatibility Testing</x:v>
      </x:c>
      <x:c r="C79" s="30" t="str">
        <x:v>Regression</x:v>
      </x:c>
      <x:c r="D79" s="32"/>
      <x:c r="E79" s="32"/>
      <x:c r="F79" s="32"/>
      <x:c r="G79" s="34"/>
      <x:c r="H79" s="34"/>
      <x:c r="I79" s="34"/>
      <x:c r="J79" s="34"/>
      <x:c r="K79" s="34"/>
      <x:c r="L79" s="36" t="str">
        <x:f>IF(COUNTA(D79:K79)=8,"Complete","Missing fields")</x:f>
        <x:v>Missing fields</x:v>
      </x:c>
    </x:row>
    <x:row r="80" ht="68" customHeight="1">
      <x:c r="A80" s="30" t="str">
        <x:v>SPEC-14</x:v>
      </x:c>
      <x:c r="B80" s="30" t="str">
        <x:v>Digital Ordering App Version Upgrade — Multi-Device and Multi-OS Compatibility Testing</x:v>
      </x:c>
      <x:c r="C80" s="30" t="str">
        <x:v>Integration</x:v>
      </x:c>
      <x:c r="D80" s="32"/>
      <x:c r="E80" s="32"/>
      <x:c r="F80" s="32"/>
      <x:c r="G80" s="34"/>
      <x:c r="H80" s="34"/>
      <x:c r="I80" s="34"/>
      <x:c r="J80" s="34"/>
      <x:c r="K80" s="34"/>
      <x:c r="L80" s="36" t="str">
        <x:f>IF(COUNTA(D80:K80)=8,"Complete","Missing fields")</x:f>
        <x:v>Missing fields</x:v>
      </x:c>
    </x:row>
    <x:row r="81" ht="68" customHeight="1">
      <x:c r="A81" s="30" t="str">
        <x:v>SPEC-14</x:v>
      </x:c>
      <x:c r="B81" s="30" t="str">
        <x:v>Digital Ordering App Version Upgrade — Multi-Device and Multi-OS Compatibility Testing</x:v>
      </x:c>
      <x:c r="C81" s="30" t="str">
        <x:v>Exploratory</x:v>
      </x:c>
      <x:c r="D81" s="32"/>
      <x:c r="E81" s="32"/>
      <x:c r="F81" s="32"/>
      <x:c r="G81" s="34"/>
      <x:c r="H81" s="34"/>
      <x:c r="I81" s="34"/>
      <x:c r="J81" s="34"/>
      <x:c r="K81" s="34"/>
      <x:c r="L81" s="36" t="str">
        <x:f>IF(COUNTA(D81:K81)=8,"Complete","Missing fields")</x:f>
        <x:v>Missing fields</x:v>
      </x:c>
    </x:row>
    <x:row r="82" ht="68" customHeight="1">
      <x:c r="A82" s="30" t="str">
        <x:v>SPEC-14</x:v>
      </x:c>
      <x:c r="B82" s="30" t="str">
        <x:v>Digital Ordering App Version Upgrade — Multi-Device and Multi-OS Compatibility Testing</x:v>
      </x:c>
      <x:c r="C82" s="30" t="str">
        <x:v>Clarification</x:v>
      </x:c>
      <x:c r="D82" s="32"/>
      <x:c r="E82" s="32"/>
      <x:c r="F82" s="32"/>
      <x:c r="G82" s="34"/>
      <x:c r="H82" s="34"/>
      <x:c r="I82" s="34"/>
      <x:c r="J82" s="34"/>
      <x:c r="K82" s="34"/>
      <x:c r="L82" s="36" t="str">
        <x:f>IF(COUNTA(D82:K82)=8,"Complete","Missing fields")</x:f>
        <x:v>Missing fields</x:v>
      </x:c>
    </x:row>
    <x:row r="83" ht="68" customHeight="1">
      <x:c r="A83" s="30" t="str">
        <x:v>SPEC-15</x:v>
      </x:c>
      <x:c r="B83" s="30" t="str">
        <x:v>Gift Card Transaction Cancel Messaging Fix — Validate Correct Terminal Display With Cloud Processing Disabled</x:v>
      </x:c>
      <x:c r="C83" s="30" t="str">
        <x:v>Functional</x:v>
      </x:c>
      <x:c r="D83" s="32"/>
      <x:c r="E83" s="32"/>
      <x:c r="F83" s="32"/>
      <x:c r="G83" s="34"/>
      <x:c r="H83" s="34"/>
      <x:c r="I83" s="34"/>
      <x:c r="J83" s="34"/>
      <x:c r="K83" s="34"/>
      <x:c r="L83" s="36" t="str">
        <x:f>IF(COUNTA(D83:K83)=8,"Complete","Missing fields")</x:f>
        <x:v>Missing fields</x:v>
      </x:c>
    </x:row>
    <x:row r="84" ht="68" customHeight="1">
      <x:c r="A84" s="30" t="str">
        <x:v>SPEC-15</x:v>
      </x:c>
      <x:c r="B84" s="30" t="str">
        <x:v>Gift Card Transaction Cancel Messaging Fix — Validate Correct Terminal Display With Cloud Processing Disabled</x:v>
      </x:c>
      <x:c r="C84" s="30" t="str">
        <x:v>Smoke</x:v>
      </x:c>
      <x:c r="D84" s="32"/>
      <x:c r="E84" s="32"/>
      <x:c r="F84" s="32"/>
      <x:c r="G84" s="34"/>
      <x:c r="H84" s="34"/>
      <x:c r="I84" s="34"/>
      <x:c r="J84" s="34"/>
      <x:c r="K84" s="34"/>
      <x:c r="L84" s="36" t="str">
        <x:f>IF(COUNTA(D84:K84)=8,"Complete","Missing fields")</x:f>
        <x:v>Missing fields</x:v>
      </x:c>
    </x:row>
    <x:row r="85" ht="68" customHeight="1">
      <x:c r="A85" s="30" t="str">
        <x:v>SPEC-15</x:v>
      </x:c>
      <x:c r="B85" s="30" t="str">
        <x:v>Gift Card Transaction Cancel Messaging Fix — Validate Correct Terminal Display With Cloud Processing Disabled</x:v>
      </x:c>
      <x:c r="C85" s="30" t="str">
        <x:v>Regression</x:v>
      </x:c>
      <x:c r="D85" s="32"/>
      <x:c r="E85" s="32"/>
      <x:c r="F85" s="32"/>
      <x:c r="G85" s="34"/>
      <x:c r="H85" s="34"/>
      <x:c r="I85" s="34"/>
      <x:c r="J85" s="34"/>
      <x:c r="K85" s="34"/>
      <x:c r="L85" s="36" t="str">
        <x:f>IF(COUNTA(D85:K85)=8,"Complete","Missing fields")</x:f>
        <x:v>Missing fields</x:v>
      </x:c>
    </x:row>
    <x:row r="86" ht="68" customHeight="1">
      <x:c r="A86" s="30" t="str">
        <x:v>SPEC-15</x:v>
      </x:c>
      <x:c r="B86" s="30" t="str">
        <x:v>Gift Card Transaction Cancel Messaging Fix — Validate Correct Terminal Display With Cloud Processing Disabled</x:v>
      </x:c>
      <x:c r="C86" s="30" t="str">
        <x:v>Integration</x:v>
      </x:c>
      <x:c r="D86" s="32"/>
      <x:c r="E86" s="32"/>
      <x:c r="F86" s="32"/>
      <x:c r="G86" s="34"/>
      <x:c r="H86" s="34"/>
      <x:c r="I86" s="34"/>
      <x:c r="J86" s="34"/>
      <x:c r="K86" s="34"/>
      <x:c r="L86" s="36" t="str">
        <x:f>IF(COUNTA(D86:K86)=8,"Complete","Missing fields")</x:f>
        <x:v>Missing fields</x:v>
      </x:c>
    </x:row>
    <x:row r="87" ht="68" customHeight="1">
      <x:c r="A87" s="30" t="str">
        <x:v>SPEC-15</x:v>
      </x:c>
      <x:c r="B87" s="30" t="str">
        <x:v>Gift Card Transaction Cancel Messaging Fix — Validate Correct Terminal Display With Cloud Processing Disabled</x:v>
      </x:c>
      <x:c r="C87" s="30" t="str">
        <x:v>Exploratory</x:v>
      </x:c>
      <x:c r="D87" s="32"/>
      <x:c r="E87" s="32"/>
      <x:c r="F87" s="32"/>
      <x:c r="G87" s="34"/>
      <x:c r="H87" s="34"/>
      <x:c r="I87" s="34"/>
      <x:c r="J87" s="34"/>
      <x:c r="K87" s="34"/>
      <x:c r="L87" s="36" t="str">
        <x:f>IF(COUNTA(D87:K87)=8,"Complete","Missing fields")</x:f>
        <x:v>Missing fields</x:v>
      </x:c>
    </x:row>
    <x:row r="88" ht="68" customHeight="1">
      <x:c r="A88" s="30" t="str">
        <x:v>SPEC-15</x:v>
      </x:c>
      <x:c r="B88" s="30" t="str">
        <x:v>Gift Card Transaction Cancel Messaging Fix — Validate Correct Terminal Display With Cloud Processing Disabled</x:v>
      </x:c>
      <x:c r="C88" s="30" t="str">
        <x:v>Clarification</x:v>
      </x:c>
      <x:c r="D88" s="32"/>
      <x:c r="E88" s="32"/>
      <x:c r="F88" s="32"/>
      <x:c r="G88" s="34"/>
      <x:c r="H88" s="34"/>
      <x:c r="I88" s="34"/>
      <x:c r="J88" s="34"/>
      <x:c r="K88" s="34"/>
      <x:c r="L88" s="36" t="str">
        <x:f>IF(COUNTA(D88:K88)=8,"Complete","Missing fields")</x:f>
        <x:v>Missing fields</x:v>
      </x:c>
    </x:row>
    <x:row r="89" ht="68" customHeight="1">
      <x:c r="A89" s="30" t="str">
        <x:v>SPEC-16</x:v>
      </x:c>
      <x:c r="B89" s="30" t="str">
        <x:v>Regression Testing for Existing Serialized Coupons After New Promotional BIN Ranges Added</x:v>
      </x:c>
      <x:c r="C89" s="30" t="str">
        <x:v>Functional</x:v>
      </x:c>
      <x:c r="D89" s="32"/>
      <x:c r="E89" s="32"/>
      <x:c r="F89" s="32"/>
      <x:c r="G89" s="34"/>
      <x:c r="H89" s="34"/>
      <x:c r="I89" s="34"/>
      <x:c r="J89" s="34"/>
      <x:c r="K89" s="34"/>
      <x:c r="L89" s="36" t="str">
        <x:f>IF(COUNTA(D89:K89)=8,"Complete","Missing fields")</x:f>
        <x:v>Missing fields</x:v>
      </x:c>
    </x:row>
    <x:row r="90" ht="68" customHeight="1">
      <x:c r="A90" s="30" t="str">
        <x:v>SPEC-16</x:v>
      </x:c>
      <x:c r="B90" s="30" t="str">
        <x:v>Regression Testing for Existing Serialized Coupons After New Promotional BIN Ranges Added</x:v>
      </x:c>
      <x:c r="C90" s="30" t="str">
        <x:v>Smoke</x:v>
      </x:c>
      <x:c r="D90" s="32"/>
      <x:c r="E90" s="32"/>
      <x:c r="F90" s="32"/>
      <x:c r="G90" s="34"/>
      <x:c r="H90" s="34"/>
      <x:c r="I90" s="34"/>
      <x:c r="J90" s="34"/>
      <x:c r="K90" s="34"/>
      <x:c r="L90" s="36" t="str">
        <x:f>IF(COUNTA(D90:K90)=8,"Complete","Missing fields")</x:f>
        <x:v>Missing fields</x:v>
      </x:c>
    </x:row>
    <x:row r="91" ht="68" customHeight="1">
      <x:c r="A91" s="30" t="str">
        <x:v>SPEC-16</x:v>
      </x:c>
      <x:c r="B91" s="30" t="str">
        <x:v>Regression Testing for Existing Serialized Coupons After New Promotional BIN Ranges Added</x:v>
      </x:c>
      <x:c r="C91" s="30" t="str">
        <x:v>Regression</x:v>
      </x:c>
      <x:c r="D91" s="32"/>
      <x:c r="E91" s="32"/>
      <x:c r="F91" s="32"/>
      <x:c r="G91" s="34"/>
      <x:c r="H91" s="34"/>
      <x:c r="I91" s="34"/>
      <x:c r="J91" s="34"/>
      <x:c r="K91" s="34"/>
      <x:c r="L91" s="36" t="str">
        <x:f>IF(COUNTA(D91:K91)=8,"Complete","Missing fields")</x:f>
        <x:v>Missing fields</x:v>
      </x:c>
    </x:row>
    <x:row r="92" ht="68" customHeight="1">
      <x:c r="A92" s="30" t="str">
        <x:v>SPEC-16</x:v>
      </x:c>
      <x:c r="B92" s="30" t="str">
        <x:v>Regression Testing for Existing Serialized Coupons After New Promotional BIN Ranges Added</x:v>
      </x:c>
      <x:c r="C92" s="30" t="str">
        <x:v>Integration</x:v>
      </x:c>
      <x:c r="D92" s="32"/>
      <x:c r="E92" s="32"/>
      <x:c r="F92" s="32"/>
      <x:c r="G92" s="34"/>
      <x:c r="H92" s="34"/>
      <x:c r="I92" s="34"/>
      <x:c r="J92" s="34"/>
      <x:c r="K92" s="34"/>
      <x:c r="L92" s="36" t="str">
        <x:f>IF(COUNTA(D92:K92)=8,"Complete","Missing fields")</x:f>
        <x:v>Missing fields</x:v>
      </x:c>
    </x:row>
    <x:row r="93" ht="68" customHeight="1">
      <x:c r="A93" s="30" t="str">
        <x:v>SPEC-16</x:v>
      </x:c>
      <x:c r="B93" s="30" t="str">
        <x:v>Regression Testing for Existing Serialized Coupons After New Promotional BIN Ranges Added</x:v>
      </x:c>
      <x:c r="C93" s="30" t="str">
        <x:v>Exploratory</x:v>
      </x:c>
      <x:c r="D93" s="32"/>
      <x:c r="E93" s="32"/>
      <x:c r="F93" s="32"/>
      <x:c r="G93" s="34"/>
      <x:c r="H93" s="34"/>
      <x:c r="I93" s="34"/>
      <x:c r="J93" s="34"/>
      <x:c r="K93" s="34"/>
      <x:c r="L93" s="36" t="str">
        <x:f>IF(COUNTA(D93:K93)=8,"Complete","Missing fields")</x:f>
        <x:v>Missing fields</x:v>
      </x:c>
    </x:row>
    <x:row r="94" ht="68" customHeight="1">
      <x:c r="A94" s="30" t="str">
        <x:v>SPEC-16</x:v>
      </x:c>
      <x:c r="B94" s="30" t="str">
        <x:v>Regression Testing for Existing Serialized Coupons After New Promotional BIN Ranges Added</x:v>
      </x:c>
      <x:c r="C94" s="30" t="str">
        <x:v>Clarification</x:v>
      </x:c>
      <x:c r="D94" s="32"/>
      <x:c r="E94" s="32"/>
      <x:c r="F94" s="32"/>
      <x:c r="G94" s="34"/>
      <x:c r="H94" s="34"/>
      <x:c r="I94" s="34"/>
      <x:c r="J94" s="34"/>
      <x:c r="K94" s="34"/>
      <x:c r="L94" s="36" t="str">
        <x:f>IF(COUNTA(D94:K94)=8,"Complete","Missing fields")</x:f>
        <x:v>Missing fields</x:v>
      </x:c>
    </x:row>
    <x:row r="95" ht="68" customHeight="1">
      <x:c r="A95" s="30" t="str">
        <x:v>SPEC-17</x:v>
      </x:c>
      <x:c r="B95" s="30" t="str">
        <x:v>Antivirus Exclusion Script Deployment for Remote Management Tool — POS Terminal Validation</x:v>
      </x:c>
      <x:c r="C95" s="30" t="str">
        <x:v>Functional</x:v>
      </x:c>
      <x:c r="D95" s="32"/>
      <x:c r="E95" s="32"/>
      <x:c r="F95" s="32"/>
      <x:c r="G95" s="34"/>
      <x:c r="H95" s="34"/>
      <x:c r="I95" s="34"/>
      <x:c r="J95" s="34"/>
      <x:c r="K95" s="34"/>
      <x:c r="L95" s="36" t="str">
        <x:f>IF(COUNTA(D95:K95)=8,"Complete","Missing fields")</x:f>
        <x:v>Missing fields</x:v>
      </x:c>
    </x:row>
    <x:row r="96" ht="68" customHeight="1">
      <x:c r="A96" s="30" t="str">
        <x:v>SPEC-17</x:v>
      </x:c>
      <x:c r="B96" s="30" t="str">
        <x:v>Antivirus Exclusion Script Deployment for Remote Management Tool — POS Terminal Validation</x:v>
      </x:c>
      <x:c r="C96" s="30" t="str">
        <x:v>Smoke</x:v>
      </x:c>
      <x:c r="D96" s="32"/>
      <x:c r="E96" s="32"/>
      <x:c r="F96" s="32"/>
      <x:c r="G96" s="34"/>
      <x:c r="H96" s="34"/>
      <x:c r="I96" s="34"/>
      <x:c r="J96" s="34"/>
      <x:c r="K96" s="34"/>
      <x:c r="L96" s="36" t="str">
        <x:f>IF(COUNTA(D96:K96)=8,"Complete","Missing fields")</x:f>
        <x:v>Missing fields</x:v>
      </x:c>
    </x:row>
    <x:row r="97" ht="68" customHeight="1">
      <x:c r="A97" s="30" t="str">
        <x:v>SPEC-17</x:v>
      </x:c>
      <x:c r="B97" s="30" t="str">
        <x:v>Antivirus Exclusion Script Deployment for Remote Management Tool — POS Terminal Validation</x:v>
      </x:c>
      <x:c r="C97" s="30" t="str">
        <x:v>Regression</x:v>
      </x:c>
      <x:c r="D97" s="32"/>
      <x:c r="E97" s="32"/>
      <x:c r="F97" s="32"/>
      <x:c r="G97" s="34"/>
      <x:c r="H97" s="34"/>
      <x:c r="I97" s="34"/>
      <x:c r="J97" s="34"/>
      <x:c r="K97" s="34"/>
      <x:c r="L97" s="36" t="str">
        <x:f>IF(COUNTA(D97:K97)=8,"Complete","Missing fields")</x:f>
        <x:v>Missing fields</x:v>
      </x:c>
    </x:row>
    <x:row r="98" ht="68" customHeight="1">
      <x:c r="A98" s="30" t="str">
        <x:v>SPEC-17</x:v>
      </x:c>
      <x:c r="B98" s="30" t="str">
        <x:v>Antivirus Exclusion Script Deployment for Remote Management Tool — POS Terminal Validation</x:v>
      </x:c>
      <x:c r="C98" s="30" t="str">
        <x:v>Integration</x:v>
      </x:c>
      <x:c r="D98" s="32"/>
      <x:c r="E98" s="32"/>
      <x:c r="F98" s="32"/>
      <x:c r="G98" s="34"/>
      <x:c r="H98" s="34"/>
      <x:c r="I98" s="34"/>
      <x:c r="J98" s="34"/>
      <x:c r="K98" s="34"/>
      <x:c r="L98" s="36" t="str">
        <x:f>IF(COUNTA(D98:K98)=8,"Complete","Missing fields")</x:f>
        <x:v>Missing fields</x:v>
      </x:c>
    </x:row>
    <x:row r="99" ht="68" customHeight="1">
      <x:c r="A99" s="30" t="str">
        <x:v>SPEC-17</x:v>
      </x:c>
      <x:c r="B99" s="30" t="str">
        <x:v>Antivirus Exclusion Script Deployment for Remote Management Tool — POS Terminal Validation</x:v>
      </x:c>
      <x:c r="C99" s="30" t="str">
        <x:v>Exploratory</x:v>
      </x:c>
      <x:c r="D99" s="32"/>
      <x:c r="E99" s="32"/>
      <x:c r="F99" s="32"/>
      <x:c r="G99" s="34"/>
      <x:c r="H99" s="34"/>
      <x:c r="I99" s="34"/>
      <x:c r="J99" s="34"/>
      <x:c r="K99" s="34"/>
      <x:c r="L99" s="36" t="str">
        <x:f>IF(COUNTA(D99:K99)=8,"Complete","Missing fields")</x:f>
        <x:v>Missing fields</x:v>
      </x:c>
    </x:row>
    <x:row r="100" ht="68" customHeight="1">
      <x:c r="A100" s="30" t="str">
        <x:v>SPEC-17</x:v>
      </x:c>
      <x:c r="B100" s="30" t="str">
        <x:v>Antivirus Exclusion Script Deployment for Remote Management Tool — POS Terminal Validation</x:v>
      </x:c>
      <x:c r="C100" s="30" t="str">
        <x:v>Clarification</x:v>
      </x:c>
      <x:c r="D100" s="32"/>
      <x:c r="E100" s="32"/>
      <x:c r="F100" s="32"/>
      <x:c r="G100" s="34"/>
      <x:c r="H100" s="34"/>
      <x:c r="I100" s="34"/>
      <x:c r="J100" s="34"/>
      <x:c r="K100" s="34"/>
      <x:c r="L100" s="36" t="str">
        <x:f>IF(COUNTA(D100:K100)=8,"Complete","Missing fields")</x:f>
        <x:v>Missing fields</x:v>
      </x:c>
    </x:row>
    <x:row r="101" ht="68" customHeight="1">
      <x:c r="A101" s="30" t="str">
        <x:v>SPEC-18</x:v>
      </x:c>
      <x:c r="B101" s="30" t="str">
        <x:v>POS Crew Notification Feature Enablement on POS Workstations</x:v>
      </x:c>
      <x:c r="C101" s="30" t="str">
        <x:v>Functional</x:v>
      </x:c>
      <x:c r="D101" s="32"/>
      <x:c r="E101" s="32"/>
      <x:c r="F101" s="32"/>
      <x:c r="G101" s="34"/>
      <x:c r="H101" s="34"/>
      <x:c r="I101" s="34"/>
      <x:c r="J101" s="34"/>
      <x:c r="K101" s="34"/>
      <x:c r="L101" s="36" t="str">
        <x:f>IF(COUNTA(D101:K101)=8,"Complete","Missing fields")</x:f>
        <x:v>Missing fields</x:v>
      </x:c>
    </x:row>
    <x:row r="102" ht="68" customHeight="1">
      <x:c r="A102" s="30" t="str">
        <x:v>SPEC-18</x:v>
      </x:c>
      <x:c r="B102" s="30" t="str">
        <x:v>POS Crew Notification Feature Enablement on POS Workstations</x:v>
      </x:c>
      <x:c r="C102" s="30" t="str">
        <x:v>Smoke</x:v>
      </x:c>
      <x:c r="D102" s="32"/>
      <x:c r="E102" s="32"/>
      <x:c r="F102" s="32"/>
      <x:c r="G102" s="34"/>
      <x:c r="H102" s="34"/>
      <x:c r="I102" s="34"/>
      <x:c r="J102" s="34"/>
      <x:c r="K102" s="34"/>
      <x:c r="L102" s="36" t="str">
        <x:f>IF(COUNTA(D102:K102)=8,"Complete","Missing fields")</x:f>
        <x:v>Missing fields</x:v>
      </x:c>
    </x:row>
    <x:row r="103" ht="68" customHeight="1">
      <x:c r="A103" s="30" t="str">
        <x:v>SPEC-18</x:v>
      </x:c>
      <x:c r="B103" s="30" t="str">
        <x:v>POS Crew Notification Feature Enablement on POS Workstations</x:v>
      </x:c>
      <x:c r="C103" s="30" t="str">
        <x:v>Regression</x:v>
      </x:c>
      <x:c r="D103" s="32"/>
      <x:c r="E103" s="32"/>
      <x:c r="F103" s="32"/>
      <x:c r="G103" s="34"/>
      <x:c r="H103" s="34"/>
      <x:c r="I103" s="34"/>
      <x:c r="J103" s="34"/>
      <x:c r="K103" s="34"/>
      <x:c r="L103" s="36" t="str">
        <x:f>IF(COUNTA(D103:K103)=8,"Complete","Missing fields")</x:f>
        <x:v>Missing fields</x:v>
      </x:c>
    </x:row>
    <x:row r="104" ht="68" customHeight="1">
      <x:c r="A104" s="30" t="str">
        <x:v>SPEC-18</x:v>
      </x:c>
      <x:c r="B104" s="30" t="str">
        <x:v>POS Crew Notification Feature Enablement on POS Workstations</x:v>
      </x:c>
      <x:c r="C104" s="30" t="str">
        <x:v>Integration</x:v>
      </x:c>
      <x:c r="D104" s="32"/>
      <x:c r="E104" s="32"/>
      <x:c r="F104" s="32"/>
      <x:c r="G104" s="34"/>
      <x:c r="H104" s="34"/>
      <x:c r="I104" s="34"/>
      <x:c r="J104" s="34"/>
      <x:c r="K104" s="34"/>
      <x:c r="L104" s="36" t="str">
        <x:f>IF(COUNTA(D104:K104)=8,"Complete","Missing fields")</x:f>
        <x:v>Missing fields</x:v>
      </x:c>
    </x:row>
    <x:row r="105" ht="68" customHeight="1">
      <x:c r="A105" s="30" t="str">
        <x:v>SPEC-18</x:v>
      </x:c>
      <x:c r="B105" s="30" t="str">
        <x:v>POS Crew Notification Feature Enablement on POS Workstations</x:v>
      </x:c>
      <x:c r="C105" s="30" t="str">
        <x:v>Exploratory</x:v>
      </x:c>
      <x:c r="D105" s="32"/>
      <x:c r="E105" s="32"/>
      <x:c r="F105" s="32"/>
      <x:c r="G105" s="34"/>
      <x:c r="H105" s="34"/>
      <x:c r="I105" s="34"/>
      <x:c r="J105" s="34"/>
      <x:c r="K105" s="34"/>
      <x:c r="L105" s="36" t="str">
        <x:f>IF(COUNTA(D105:K105)=8,"Complete","Missing fields")</x:f>
        <x:v>Missing fields</x:v>
      </x:c>
    </x:row>
    <x:row r="106" ht="68" customHeight="1">
      <x:c r="A106" s="30" t="str">
        <x:v>SPEC-18</x:v>
      </x:c>
      <x:c r="B106" s="30" t="str">
        <x:v>POS Crew Notification Feature Enablement on POS Workstations</x:v>
      </x:c>
      <x:c r="C106" s="30" t="str">
        <x:v>Clarification</x:v>
      </x:c>
      <x:c r="D106" s="32"/>
      <x:c r="E106" s="32"/>
      <x:c r="F106" s="32"/>
      <x:c r="G106" s="34"/>
      <x:c r="H106" s="34"/>
      <x:c r="I106" s="34"/>
      <x:c r="J106" s="34"/>
      <x:c r="K106" s="34"/>
      <x:c r="L106" s="36" t="str">
        <x:f>IF(COUNTA(D106:K106)=8,"Complete","Missing fields")</x:f>
        <x:v>Missing fields</x:v>
      </x:c>
    </x:row>
    <x:row r="107" ht="68" customHeight="1">
      <x:c r="A107" s="30" t="str">
        <x:v>SPEC-19</x:v>
      </x:c>
      <x:c r="B107" s="30" t="str">
        <x:v>Secondary DNS Provider Change — Broad System Regression Across All Network-Dependent Functions</x:v>
      </x:c>
      <x:c r="C107" s="30" t="str">
        <x:v>Functional</x:v>
      </x:c>
      <x:c r="D107" s="32"/>
      <x:c r="E107" s="32"/>
      <x:c r="F107" s="32"/>
      <x:c r="G107" s="34"/>
      <x:c r="H107" s="34"/>
      <x:c r="I107" s="34"/>
      <x:c r="J107" s="34"/>
      <x:c r="K107" s="34"/>
      <x:c r="L107" s="36" t="str">
        <x:f>IF(COUNTA(D107:K107)=8,"Complete","Missing fields")</x:f>
        <x:v>Missing fields</x:v>
      </x:c>
    </x:row>
    <x:row r="108" ht="68" customHeight="1">
      <x:c r="A108" s="30" t="str">
        <x:v>SPEC-19</x:v>
      </x:c>
      <x:c r="B108" s="30" t="str">
        <x:v>Secondary DNS Provider Change — Broad System Regression Across All Network-Dependent Functions</x:v>
      </x:c>
      <x:c r="C108" s="30" t="str">
        <x:v>Smoke</x:v>
      </x:c>
      <x:c r="D108" s="32"/>
      <x:c r="E108" s="32"/>
      <x:c r="F108" s="32"/>
      <x:c r="G108" s="34"/>
      <x:c r="H108" s="34"/>
      <x:c r="I108" s="34"/>
      <x:c r="J108" s="34"/>
      <x:c r="K108" s="34"/>
      <x:c r="L108" s="36" t="str">
        <x:f>IF(COUNTA(D108:K108)=8,"Complete","Missing fields")</x:f>
        <x:v>Missing fields</x:v>
      </x:c>
    </x:row>
    <x:row r="109" ht="68" customHeight="1">
      <x:c r="A109" s="30" t="str">
        <x:v>SPEC-19</x:v>
      </x:c>
      <x:c r="B109" s="30" t="str">
        <x:v>Secondary DNS Provider Change — Broad System Regression Across All Network-Dependent Functions</x:v>
      </x:c>
      <x:c r="C109" s="30" t="str">
        <x:v>Regression</x:v>
      </x:c>
      <x:c r="D109" s="32"/>
      <x:c r="E109" s="32"/>
      <x:c r="F109" s="32"/>
      <x:c r="G109" s="34"/>
      <x:c r="H109" s="34"/>
      <x:c r="I109" s="34"/>
      <x:c r="J109" s="34"/>
      <x:c r="K109" s="34"/>
      <x:c r="L109" s="36" t="str">
        <x:f>IF(COUNTA(D109:K109)=8,"Complete","Missing fields")</x:f>
        <x:v>Missing fields</x:v>
      </x:c>
    </x:row>
    <x:row r="110" ht="68" customHeight="1">
      <x:c r="A110" s="30" t="str">
        <x:v>SPEC-19</x:v>
      </x:c>
      <x:c r="B110" s="30" t="str">
        <x:v>Secondary DNS Provider Change — Broad System Regression Across All Network-Dependent Functions</x:v>
      </x:c>
      <x:c r="C110" s="30" t="str">
        <x:v>Integration</x:v>
      </x:c>
      <x:c r="D110" s="32"/>
      <x:c r="E110" s="32"/>
      <x:c r="F110" s="32"/>
      <x:c r="G110" s="34"/>
      <x:c r="H110" s="34"/>
      <x:c r="I110" s="34"/>
      <x:c r="J110" s="34"/>
      <x:c r="K110" s="34"/>
      <x:c r="L110" s="36" t="str">
        <x:f>IF(COUNTA(D110:K110)=8,"Complete","Missing fields")</x:f>
        <x:v>Missing fields</x:v>
      </x:c>
    </x:row>
    <x:row r="111" ht="68" customHeight="1">
      <x:c r="A111" s="30" t="str">
        <x:v>SPEC-19</x:v>
      </x:c>
      <x:c r="B111" s="30" t="str">
        <x:v>Secondary DNS Provider Change — Broad System Regression Across All Network-Dependent Functions</x:v>
      </x:c>
      <x:c r="C111" s="30" t="str">
        <x:v>Exploratory</x:v>
      </x:c>
      <x:c r="D111" s="32"/>
      <x:c r="E111" s="32"/>
      <x:c r="F111" s="32"/>
      <x:c r="G111" s="34"/>
      <x:c r="H111" s="34"/>
      <x:c r="I111" s="34"/>
      <x:c r="J111" s="34"/>
      <x:c r="K111" s="34"/>
      <x:c r="L111" s="36" t="str">
        <x:f>IF(COUNTA(D111:K111)=8,"Complete","Missing fields")</x:f>
        <x:v>Missing fields</x:v>
      </x:c>
    </x:row>
    <x:row r="112" ht="68" customHeight="1">
      <x:c r="A112" s="30" t="str">
        <x:v>SPEC-19</x:v>
      </x:c>
      <x:c r="B112" s="30" t="str">
        <x:v>Secondary DNS Provider Change — Broad System Regression Across All Network-Dependent Functions</x:v>
      </x:c>
      <x:c r="C112" s="30" t="str">
        <x:v>Clarification</x:v>
      </x:c>
      <x:c r="D112" s="32"/>
      <x:c r="E112" s="32"/>
      <x:c r="F112" s="32"/>
      <x:c r="G112" s="34"/>
      <x:c r="H112" s="34"/>
      <x:c r="I112" s="34"/>
      <x:c r="J112" s="34"/>
      <x:c r="K112" s="34"/>
      <x:c r="L112" s="36" t="str">
        <x:f>IF(COUNTA(D112:K112)=8,"Complete","Missing fields")</x:f>
        <x:v>Missing fields</x:v>
      </x:c>
    </x:row>
  </x:sheetData>
  <x:conditionalFormatting sqref="L5:L112">
    <x:cfRule type="containsText" dxfId="2" priority="1" operator="containsText" text="Missing fields"/>
    <x:cfRule type="containsText" dxfId="3" priority="2" operator="containsText" text="Complete"/>
  </x:conditionalFormatting>
  <x:dataValidations count="1">
    <x:dataValidation type="list" sqref="H5:H112">
      <x:formula1>"Explicit,Implicit,Mixed,Not applicable"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39"/>
      <x:c r="B3" s="39" t="str">
        <x:v>Frozen source hash: 48d94cce163cf21efa712939bd4334b0a89260434aafe0d83a00cbd2dd3856f0. Historical ground-truth fields are deliberately excluded.</x:v>
      </x:c>
      <x:c r="C3" s="39"/>
      <x:c r="D3" s="39"/>
      <x:c r="E3" s="39"/>
      <x:c r="F3" s="39"/>
    </x:row>
    <x:row r="4" ht="32" customHeight="1">
      <x:c r="A4" s="22" t="str">
        <x:v>Spec ID</x:v>
      </x:c>
      <x:c r="B4" s="23" t="str">
        <x:v>Title</x:v>
      </x:c>
      <x:c r="C4" s="23" t="str">
        <x:v>Change type</x:v>
      </x:c>
      <x:c r="D4" s="23" t="str">
        <x:v>System area</x:v>
      </x:c>
      <x:c r="E4" s="23" t="str">
        <x:v>Description</x:v>
      </x:c>
      <x:c r="F4" s="24" t="str">
        <x:v>Acceptance criteria</x:v>
      </x:c>
    </x:row>
    <x:row r="5" ht="112" customHeight="1">
      <x:c r="A5" s="40" t="str">
        <x:v>SPEC-01</x:v>
      </x:c>
      <x:c r="B5" s="27" t="str">
        <x:v>Online Ordering Portal Still Shows Menu Item as Available After Overnight Menu Sync</x:v>
      </x:c>
      <x:c r="C5" s="27" t="str">
        <x:v>Bug fix / Integration patch</x:v>
      </x:c>
      <x:c r="D5" s="27" t="str">
        <x:v>POS to online ordering platform integration (menu sync)</x:v>
      </x:c>
      <x:c r="E5" s="27"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27"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1" t="str">
        <x:v>SPEC-02</x:v>
      </x:c>
      <x:c r="B6" s="28" t="str">
        <x:v>Payment Device Firmware Update — Quick Chip Reconnection Fix</x:v>
      </x:c>
      <x:c r="C6" s="28" t="str">
        <x:v>Patch (vendor-delivered firmware fix)</x:v>
      </x:c>
      <x:c r="D6" s="28" t="str">
        <x:v>Payment processing / POS to payment terminal integration</x:v>
      </x:c>
      <x:c r="E6" s="28"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28" t="str">
        <x:v>None supplied</x:v>
      </x:c>
    </x:row>
    <x:row r="7" ht="112" customHeight="1">
      <x:c r="A7" s="41" t="str">
        <x:v>SPEC-03</x:v>
      </x:c>
      <x:c r="B7" s="28" t="str">
        <x:v>New Wi-Fi Access Point Hardware Rollout — Indoor Wi-Fi 7 Model</x:v>
      </x:c>
      <x:c r="C7" s="28" t="str">
        <x:v>Infrastructure / hardware replacement</x:v>
      </x:c>
      <x:c r="D7" s="28" t="str">
        <x:v>Network infrastructure (store connectivity, line-busting, POS communication)</x:v>
      </x:c>
      <x:c r="E7" s="28"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28" t="str">
        <x:v>None supplied</x:v>
      </x:c>
    </x:row>
    <x:row r="8" ht="112" customHeight="1">
      <x:c r="A8" s="41" t="str">
        <x:v>SPEC-04</x:v>
      </x:c>
      <x:c r="B8" s="28" t="str">
        <x:v>New Catering Voucher Tender Key Implementation on POS</x:v>
      </x:c>
      <x:c r="C8" s="28" t="str">
        <x:v>New feature (new payment tender type)</x:v>
      </x:c>
      <x:c r="D8" s="28" t="str">
        <x:v>Payment processing, POS, financial reporting, analytics, third-party data pipeline</x:v>
      </x:c>
      <x:c r="E8" s="28"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28" t="str">
        <x:v>None supplied</x:v>
      </x:c>
    </x:row>
    <x:row r="9" ht="112" customHeight="1">
      <x:c r="A9" s="41" t="str">
        <x:v>SPEC-05</x:v>
      </x:c>
      <x:c r="B9" s="28" t="str">
        <x:v>New Extra-Large Beverage Size Addition to Menu</x:v>
      </x:c>
      <x:c r="C9" s="28" t="str">
        <x:v>New feature (menu item / size tier addition)</x:v>
      </x:c>
      <x:c r="D9" s="28" t="str">
        <x:v>Menu configuration, POS ordering, pricing engine</x:v>
      </x:c>
      <x:c r="E9" s="28"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28" t="str">
        <x:v>None supplied</x:v>
      </x:c>
    </x:row>
    <x:row r="10" ht="112" customHeight="1">
      <x:c r="A10" s="41" t="str">
        <x:v>SPEC-06</x:v>
      </x:c>
      <x:c r="B10" s="28" t="str">
        <x:v>Menu Item Availability App — Time Window Configuration Enhancement</x:v>
      </x:c>
      <x:c r="C10" s="28" t="str">
        <x:v>Enhancement (software behavior change in version update)</x:v>
      </x:c>
      <x:c r="D10" s="28" t="str">
        <x:v>POS extension app / menu item scheduling</x:v>
      </x:c>
      <x:c r="E10" s="28"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28" t="str">
        <x:v>None supplied</x:v>
      </x:c>
    </x:row>
    <x:row r="11" ht="112" customHeight="1">
      <x:c r="A11" s="41" t="str">
        <x:v>SPEC-08</x:v>
      </x:c>
      <x:c r="B11" s="28" t="str">
        <x:v>Role-Based Access Control — Restrict Void on Empty Check for Fraud Prevention</x:v>
      </x:c>
      <x:c r="C11" s="28" t="str">
        <x:v>Security / access control configuration change</x:v>
      </x:c>
      <x:c r="D11" s="28" t="str">
        <x:v>POS role configuration, transaction management</x:v>
      </x:c>
      <x:c r="E11" s="28"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28" t="str">
        <x:v>None supplied</x:v>
      </x:c>
    </x:row>
    <x:row r="12" ht="112" customHeight="1">
      <x:c r="A12" s="41" t="str">
        <x:v>SPEC-09</x:v>
      </x:c>
      <x:c r="B12" s="28" t="str">
        <x:v>Delivery Markup Percentage Update for Third-Party Delivery Platform</x:v>
      </x:c>
      <x:c r="C12" s="28" t="str">
        <x:v>Configuration change (percentage value update)</x:v>
      </x:c>
      <x:c r="D12" s="28" t="str">
        <x:v>Reporting/analytics configuration, third-party delivery platform, data pipeline</x:v>
      </x:c>
      <x:c r="E12" s="28"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28" t="str">
        <x:v>None supplied</x:v>
      </x:c>
    </x:row>
    <x:row r="13" ht="112" customHeight="1">
      <x:c r="A13" s="41" t="str">
        <x:v>SPEC-10</x:v>
      </x:c>
      <x:c r="B13" s="28" t="str">
        <x:v>SSL Certificate Renewal for Loyalty Platform Integration</x:v>
      </x:c>
      <x:c r="C13" s="28" t="str">
        <x:v>Infrastructure / security (certificate rotation)</x:v>
      </x:c>
      <x:c r="D13" s="28" t="str">
        <x:v>POS terminals, tablets, loyalty platform integration, content management configuration</x:v>
      </x:c>
      <x:c r="E13" s="28"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28" t="str">
        <x:v>None supplied</x:v>
      </x:c>
    </x:row>
    <x:row r="14" ht="112" customHeight="1">
      <x:c r="A14" s="41" t="str">
        <x:v>SPEC-11</x:v>
      </x:c>
      <x:c r="B14" s="28" t="str">
        <x:v>Mobile App Advance Order — Price Lock Behavior When Item Prices Change Before Fulfillment</x:v>
      </x:c>
      <x:c r="C14" s="28" t="str">
        <x:v>Exploratory / edge case validation</x:v>
      </x:c>
      <x:c r="D14" s="28" t="str">
        <x:v>Mobile ordering app, pricing engine, POS order processing</x:v>
      </x:c>
      <x:c r="E14" s="28"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28" t="str">
        <x:v>None supplied</x:v>
      </x:c>
    </x:row>
    <x:row r="15" ht="112" customHeight="1">
      <x:c r="A15" s="41" t="str">
        <x:v>SPEC-12</x:v>
      </x:c>
      <x:c r="B15" s="28" t="str">
        <x:v>Financial Report Layout Change — Move Third-Party Delivery Detail Section to Bottom</x:v>
      </x:c>
      <x:c r="C15" s="28" t="str">
        <x:v>Enhancement (report layout / section reordering)</x:v>
      </x:c>
      <x:c r="D15" s="28" t="str">
        <x:v>Financial reporting (property-level report)</x:v>
      </x:c>
      <x:c r="E15" s="28"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28" t="str">
        <x:v>None supplied</x:v>
      </x:c>
    </x:row>
    <x:row r="16" ht="112" customHeight="1">
      <x:c r="A16" s="41" t="str">
        <x:v>SPEC-13</x:v>
      </x:c>
      <x:c r="B16" s="28" t="str">
        <x:v>POS Hierarchy Zone Addition for Full-Menu Non-Traditional Store Locations</x:v>
      </x:c>
      <x:c r="C16" s="28" t="str">
        <x:v>Configuration change (new zone addition to hierarchy)</x:v>
      </x:c>
      <x:c r="D16" s="28" t="str">
        <x:v>POS configuration, hierarchy and zone management, menu and page design</x:v>
      </x:c>
      <x:c r="E16" s="28"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28" t="str">
        <x:v>None supplied</x:v>
      </x:c>
    </x:row>
    <x:row r="17" ht="112" customHeight="1">
      <x:c r="A17" s="41" t="str">
        <x:v>SPEC-14</x:v>
      </x:c>
      <x:c r="B17" s="28" t="str">
        <x:v>Digital Ordering App Version Upgrade — Multi-Device and Multi-OS Compatibility Testing</x:v>
      </x:c>
      <x:c r="C17" s="28" t="str">
        <x:v>Version upgrade (third-party application)</x:v>
      </x:c>
      <x:c r="D17" s="28" t="str">
        <x:v>Tablet-based digital ordering application, device and OS compatibility</x:v>
      </x:c>
      <x:c r="E17" s="28"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28" t="str">
        <x:v>None supplied</x:v>
      </x:c>
    </x:row>
    <x:row r="18" ht="112" customHeight="1">
      <x:c r="A18" s="41" t="str">
        <x:v>SPEC-15</x:v>
      </x:c>
      <x:c r="B18" s="28" t="str">
        <x:v>Gift Card Transaction Cancel Messaging Fix — Validate Correct Terminal Display With Cloud Processing Disabled</x:v>
      </x:c>
      <x:c r="C18" s="28" t="str">
        <x:v>Bug fix (UI messaging mismatch caused by mismatched configuration files)</x:v>
      </x:c>
      <x:c r="D18" s="28" t="str">
        <x:v>Gift card processing, POS terminal display, backend cloud processing</x:v>
      </x:c>
      <x:c r="E18" s="28"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28" t="str">
        <x:v>None supplied</x:v>
      </x:c>
    </x:row>
    <x:row r="19" ht="112" customHeight="1">
      <x:c r="A19" s="41" t="str">
        <x:v>SPEC-16</x:v>
      </x:c>
      <x:c r="B19" s="28" t="str">
        <x:v>Regression Testing for Existing Serialized Coupons After New Promotional BIN Ranges Added</x:v>
      </x:c>
      <x:c r="C19" s="28" t="str">
        <x:v>Regression test (new content records added, validate no interference with existing)</x:v>
      </x:c>
      <x:c r="D19" s="28" t="str">
        <x:v>Coupon and discount processing, POS, content management system</x:v>
      </x:c>
      <x:c r="E19" s="28"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28" t="str">
        <x:v>None supplied</x:v>
      </x:c>
    </x:row>
    <x:row r="20" ht="112" customHeight="1">
      <x:c r="A20" s="41" t="str">
        <x:v>SPEC-17</x:v>
      </x:c>
      <x:c r="B20" s="28" t="str">
        <x:v>Antivirus Exclusion Script Deployment for Remote Management Tool — POS Terminal Validation</x:v>
      </x:c>
      <x:c r="C20" s="28" t="str">
        <x:v>Security / infrastructure (script deployment and antivirus configuration)</x:v>
      </x:c>
      <x:c r="D20" s="28" t="str">
        <x:v>POS terminals, Windows Defender antivirus, remote management tooling</x:v>
      </x:c>
      <x:c r="E20" s="28"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28" t="str">
        <x:v>None supplied</x:v>
      </x:c>
    </x:row>
    <x:row r="21" ht="112" customHeight="1">
      <x:c r="A21" s="41" t="str">
        <x:v>SPEC-18</x:v>
      </x:c>
      <x:c r="B21" s="28" t="str">
        <x:v>POS Crew Notification Feature Enablement on POS Workstations</x:v>
      </x:c>
      <x:c r="C21" s="28" t="str">
        <x:v>New feature (POS notification scheduling and display system)</x:v>
      </x:c>
      <x:c r="D21" s="28" t="str">
        <x:v>POS workstation, employee clock-in workflow, notification management</x:v>
      </x:c>
      <x:c r="E21" s="28"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28" t="str">
        <x:v>None supplied</x:v>
      </x:c>
    </x:row>
    <x:row r="22" ht="112" customHeight="1">
      <x:c r="A22" s="41" t="str">
        <x:v>SPEC-19</x:v>
      </x:c>
      <x:c r="B22" s="28" t="str">
        <x:v>Secondary DNS Provider Change — Broad System Regression Across All Network-Dependent Functions</x:v>
      </x:c>
      <x:c r="C22" s="28" t="str">
        <x:v>Infrastructure / network configuration change (DNS provider update)</x:v>
      </x:c>
      <x:c r="D22" s="28" t="str">
        <x:v>Network infrastructure, DNS resolution, payment processing, online ordering, delivery integrations, loyalty, reporting, employee management</x:v>
      </x:c>
      <x:c r="E22" s="28"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28" t="str">
        <x:v>None supplied</x:v>
      </x:c>
    </x:row>
  </x:sheetData>
  <x:pageMargins left="0.7" right="0.7" top="0.75" bottom="0.75" header="0.3" footer="0.3"/>
</x:worksheet>
</file>